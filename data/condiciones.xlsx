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yancelad\Downloads\"/>
    </mc:Choice>
  </mc:AlternateContent>
  <bookViews>
    <workbookView xWindow="0" yWindow="0" windowWidth="23040" windowHeight="10152"/>
  </bookViews>
  <sheets>
    <sheet name="Hoja1" sheetId="1" r:id="rId1"/>
    <sheet name="Listas" sheetId="2" r:id="rId2"/>
  </sheets>
  <definedNames>
    <definedName name="_xlnm._FilterDatabase" localSheetId="0" hidden="1">Hoja1!$A$1:$N$477</definedName>
    <definedName name="_xlnm._FilterDatabase" localSheetId="1" hidden="1">Listas!$B$1:$I$34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1" i="1" l="1"/>
  <c r="H449" i="1"/>
  <c r="G449" i="1"/>
  <c r="L257" i="1"/>
  <c r="K257" i="1"/>
  <c r="K158" i="1"/>
  <c r="L158" i="1" s="1"/>
  <c r="L112" i="1"/>
  <c r="K112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7" i="1"/>
  <c r="M413" i="1"/>
  <c r="M407" i="1"/>
  <c r="M405" i="1"/>
  <c r="M401" i="1"/>
  <c r="M396" i="1"/>
  <c r="M394" i="1"/>
  <c r="M393" i="1"/>
  <c r="M391" i="1"/>
  <c r="M390" i="1"/>
  <c r="M389" i="1"/>
  <c r="M388" i="1"/>
  <c r="M385" i="1"/>
  <c r="M383" i="1"/>
  <c r="M378" i="1"/>
  <c r="M377" i="1"/>
  <c r="M376" i="1"/>
  <c r="M375" i="1"/>
  <c r="M374" i="1"/>
  <c r="M373" i="1"/>
  <c r="M372" i="1"/>
  <c r="M371" i="1"/>
  <c r="M369" i="1"/>
  <c r="M368" i="1"/>
  <c r="M367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6" i="1"/>
  <c r="M344" i="1"/>
  <c r="M343" i="1"/>
  <c r="M342" i="1"/>
  <c r="M339" i="1"/>
  <c r="M338" i="1"/>
  <c r="M337" i="1"/>
  <c r="M330" i="1"/>
  <c r="M329" i="1"/>
  <c r="M303" i="1"/>
  <c r="M299" i="1"/>
  <c r="M297" i="1"/>
  <c r="M294" i="1"/>
  <c r="M285" i="1"/>
  <c r="M281" i="1"/>
  <c r="M277" i="1"/>
  <c r="M268" i="1"/>
  <c r="M267" i="1"/>
  <c r="M265" i="1"/>
  <c r="M264" i="1"/>
  <c r="M257" i="1"/>
  <c r="M217" i="1"/>
  <c r="M158" i="1"/>
  <c r="M112" i="1"/>
  <c r="M85" i="1"/>
  <c r="M78" i="1"/>
  <c r="B7" i="2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4" i="1"/>
  <c r="L418" i="1"/>
  <c r="M418" i="1" s="1"/>
  <c r="L416" i="1"/>
  <c r="M416" i="1" s="1"/>
  <c r="L415" i="1"/>
  <c r="M415" i="1" s="1"/>
  <c r="L414" i="1"/>
  <c r="M414" i="1" s="1"/>
  <c r="L412" i="1"/>
  <c r="M412" i="1" s="1"/>
  <c r="L411" i="1"/>
  <c r="M411" i="1" s="1"/>
  <c r="L410" i="1"/>
  <c r="M410" i="1" s="1"/>
  <c r="L409" i="1"/>
  <c r="M409" i="1" s="1"/>
  <c r="L408" i="1"/>
  <c r="M408" i="1" s="1"/>
  <c r="L406" i="1"/>
  <c r="M406" i="1" s="1"/>
  <c r="L404" i="1"/>
  <c r="M404" i="1" s="1"/>
  <c r="L403" i="1"/>
  <c r="M403" i="1" s="1"/>
  <c r="L402" i="1"/>
  <c r="M402" i="1" s="1"/>
  <c r="L400" i="1"/>
  <c r="M400" i="1" s="1"/>
  <c r="L399" i="1"/>
  <c r="M399" i="1" s="1"/>
  <c r="L398" i="1"/>
  <c r="M398" i="1" s="1"/>
  <c r="L397" i="1"/>
  <c r="M397" i="1" s="1"/>
  <c r="L395" i="1"/>
  <c r="M395" i="1" s="1"/>
  <c r="L392" i="1"/>
  <c r="M392" i="1" s="1"/>
  <c r="L387" i="1"/>
  <c r="M387" i="1" s="1"/>
  <c r="L386" i="1"/>
  <c r="M386" i="1" s="1"/>
  <c r="L384" i="1"/>
  <c r="M384" i="1" s="1"/>
  <c r="L382" i="1"/>
  <c r="M382" i="1" s="1"/>
  <c r="L381" i="1"/>
  <c r="M381" i="1" s="1"/>
  <c r="L380" i="1"/>
  <c r="M380" i="1" s="1"/>
  <c r="L379" i="1"/>
  <c r="M379" i="1" s="1"/>
  <c r="L370" i="1"/>
  <c r="M370" i="1" s="1"/>
  <c r="L366" i="1"/>
  <c r="M366" i="1" s="1"/>
  <c r="L348" i="1"/>
  <c r="M348" i="1" s="1"/>
  <c r="L347" i="1"/>
  <c r="M347" i="1" s="1"/>
  <c r="L345" i="1"/>
  <c r="M345" i="1" s="1"/>
  <c r="L341" i="1"/>
  <c r="M341" i="1" s="1"/>
  <c r="L340" i="1"/>
  <c r="M340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2" i="1"/>
  <c r="M302" i="1" s="1"/>
  <c r="L301" i="1"/>
  <c r="M301" i="1" s="1"/>
  <c r="L300" i="1"/>
  <c r="M300" i="1" s="1"/>
  <c r="L298" i="1"/>
  <c r="M298" i="1" s="1"/>
  <c r="L296" i="1"/>
  <c r="M296" i="1" s="1"/>
  <c r="L295" i="1"/>
  <c r="M295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4" i="1"/>
  <c r="M284" i="1" s="1"/>
  <c r="L283" i="1"/>
  <c r="M283" i="1" s="1"/>
  <c r="L282" i="1"/>
  <c r="M282" i="1" s="1"/>
  <c r="L280" i="1"/>
  <c r="M280" i="1" s="1"/>
  <c r="L279" i="1"/>
  <c r="M279" i="1" s="1"/>
  <c r="L278" i="1"/>
  <c r="M278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6" i="1"/>
  <c r="M266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M4" i="1"/>
  <c r="G457" i="1"/>
  <c r="H457" i="1"/>
  <c r="G458" i="1"/>
  <c r="H458" i="1"/>
  <c r="G459" i="1"/>
  <c r="H459" i="1"/>
  <c r="G460" i="1"/>
  <c r="H460" i="1"/>
  <c r="G461" i="1"/>
  <c r="H461" i="1"/>
  <c r="G462" i="1"/>
  <c r="H462" i="1"/>
  <c r="G463" i="1"/>
  <c r="H463" i="1"/>
  <c r="G464" i="1"/>
  <c r="H464" i="1"/>
  <c r="G465" i="1"/>
  <c r="H465" i="1"/>
  <c r="G466" i="1"/>
  <c r="H466" i="1"/>
  <c r="G467" i="1"/>
  <c r="H467" i="1"/>
  <c r="G468" i="1"/>
  <c r="H468" i="1"/>
  <c r="G469" i="1"/>
  <c r="H469" i="1"/>
  <c r="G470" i="1"/>
  <c r="H470" i="1"/>
  <c r="G471" i="1"/>
  <c r="H471" i="1"/>
  <c r="G472" i="1"/>
  <c r="H472" i="1"/>
  <c r="G473" i="1"/>
  <c r="H473" i="1"/>
  <c r="G474" i="1"/>
  <c r="H474" i="1"/>
  <c r="G475" i="1"/>
  <c r="H475" i="1"/>
  <c r="G476" i="1"/>
  <c r="H476" i="1"/>
  <c r="G477" i="1"/>
  <c r="H477" i="1"/>
  <c r="G442" i="1"/>
  <c r="H442" i="1"/>
  <c r="G443" i="1"/>
  <c r="H443" i="1"/>
  <c r="G444" i="1"/>
  <c r="H444" i="1"/>
  <c r="G445" i="1"/>
  <c r="H445" i="1"/>
  <c r="G446" i="1"/>
  <c r="H446" i="1"/>
  <c r="G447" i="1"/>
  <c r="H447" i="1"/>
  <c r="G448" i="1"/>
  <c r="H448" i="1"/>
  <c r="G450" i="1"/>
  <c r="H450" i="1"/>
  <c r="H451" i="1"/>
  <c r="G452" i="1"/>
  <c r="H452" i="1"/>
  <c r="G453" i="1"/>
  <c r="H453" i="1"/>
  <c r="G454" i="1"/>
  <c r="H454" i="1"/>
  <c r="H455" i="1"/>
  <c r="G456" i="1"/>
  <c r="H456" i="1"/>
  <c r="H429" i="1"/>
  <c r="H430" i="1"/>
  <c r="H431" i="1"/>
  <c r="G432" i="1"/>
  <c r="H432" i="1"/>
  <c r="G433" i="1"/>
  <c r="H433" i="1"/>
  <c r="G434" i="1"/>
  <c r="H434" i="1"/>
  <c r="G435" i="1"/>
  <c r="H435" i="1"/>
  <c r="G436" i="1"/>
  <c r="H436" i="1"/>
  <c r="G437" i="1"/>
  <c r="H437" i="1"/>
  <c r="G438" i="1"/>
  <c r="H438" i="1"/>
  <c r="G439" i="1"/>
  <c r="H439" i="1"/>
  <c r="G440" i="1"/>
  <c r="H440" i="1"/>
  <c r="G441" i="1"/>
  <c r="H441" i="1"/>
  <c r="G420" i="1"/>
  <c r="H420" i="1"/>
  <c r="G421" i="1"/>
  <c r="H421" i="1"/>
  <c r="G422" i="1"/>
  <c r="H422" i="1"/>
  <c r="G423" i="1"/>
  <c r="H423" i="1"/>
  <c r="G424" i="1"/>
  <c r="H424" i="1"/>
  <c r="G425" i="1"/>
  <c r="H425" i="1"/>
  <c r="G426" i="1"/>
  <c r="H426" i="1"/>
  <c r="G427" i="1"/>
  <c r="H427" i="1"/>
  <c r="G428" i="1"/>
  <c r="H428" i="1"/>
  <c r="G403" i="1"/>
  <c r="H403" i="1"/>
  <c r="H401" i="1"/>
  <c r="G402" i="1"/>
  <c r="H402" i="1"/>
  <c r="G404" i="1"/>
  <c r="H404" i="1"/>
  <c r="G405" i="1"/>
  <c r="H405" i="1"/>
  <c r="H406" i="1"/>
  <c r="G407" i="1"/>
  <c r="H407" i="1"/>
  <c r="G408" i="1"/>
  <c r="H408" i="1"/>
  <c r="G409" i="1"/>
  <c r="H409" i="1"/>
  <c r="G410" i="1"/>
  <c r="H410" i="1"/>
  <c r="G411" i="1"/>
  <c r="H411" i="1"/>
  <c r="G412" i="1"/>
  <c r="H412" i="1"/>
  <c r="G413" i="1"/>
  <c r="H413" i="1"/>
  <c r="G414" i="1"/>
  <c r="H414" i="1"/>
  <c r="G415" i="1"/>
  <c r="H415" i="1"/>
  <c r="G416" i="1"/>
  <c r="H416" i="1"/>
  <c r="G417" i="1"/>
  <c r="H417" i="1"/>
  <c r="G418" i="1"/>
  <c r="H418" i="1"/>
  <c r="G419" i="1"/>
  <c r="H419" i="1"/>
  <c r="G372" i="1"/>
  <c r="G373" i="1"/>
  <c r="G374" i="1"/>
  <c r="G376" i="1"/>
  <c r="G377" i="1"/>
  <c r="G378" i="1"/>
  <c r="G379" i="1"/>
  <c r="G380" i="1"/>
  <c r="G381" i="1"/>
  <c r="G382" i="1"/>
  <c r="G384" i="1"/>
  <c r="G385" i="1"/>
  <c r="G386" i="1"/>
  <c r="G387" i="1"/>
  <c r="G388" i="1"/>
  <c r="G390" i="1"/>
  <c r="G391" i="1"/>
  <c r="G392" i="1"/>
  <c r="G393" i="1"/>
  <c r="G395" i="1"/>
  <c r="G396" i="1"/>
  <c r="G397" i="1"/>
  <c r="G398" i="1"/>
  <c r="G399" i="1"/>
  <c r="G400" i="1"/>
  <c r="G362" i="1"/>
  <c r="G363" i="1"/>
  <c r="G364" i="1"/>
  <c r="G365" i="1"/>
  <c r="G366" i="1"/>
  <c r="G368" i="1"/>
  <c r="G369" i="1"/>
  <c r="G370" i="1"/>
  <c r="G371" i="1"/>
  <c r="H392" i="1"/>
  <c r="H393" i="1"/>
  <c r="H394" i="1"/>
  <c r="H395" i="1"/>
  <c r="H396" i="1"/>
  <c r="H397" i="1"/>
  <c r="H398" i="1"/>
  <c r="H399" i="1"/>
  <c r="H400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62" i="1"/>
  <c r="H363" i="1"/>
  <c r="H364" i="1"/>
  <c r="G361" i="1"/>
  <c r="H361" i="1"/>
  <c r="A361" i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</calcChain>
</file>

<file path=xl/sharedStrings.xml><?xml version="1.0" encoding="utf-8"?>
<sst xmlns="http://schemas.openxmlformats.org/spreadsheetml/2006/main" count="3220" uniqueCount="1230">
  <si>
    <t>BASE CONDICIONES Y ACCIONES  INSEGURAS 2026</t>
  </si>
  <si>
    <t>FECHA PROPUESTA DE CIERRE</t>
  </si>
  <si>
    <t xml:space="preserve">NÚMERO </t>
  </si>
  <si>
    <t>FECHA DEL REPORTE</t>
  </si>
  <si>
    <t>ACCIÓN/ CONDICIÓN</t>
  </si>
  <si>
    <t>Detalle</t>
  </si>
  <si>
    <t>LUGAR / MAQUINA / EQUIPO</t>
  </si>
  <si>
    <t>POSIBLES CONCECUENCIAS</t>
  </si>
  <si>
    <t>ÁREA</t>
  </si>
  <si>
    <t>RESPONSABLE</t>
  </si>
  <si>
    <t>ACCION CORRECTIVA</t>
  </si>
  <si>
    <t>Evidencia Fotográfica</t>
  </si>
  <si>
    <t xml:space="preserve">FECHA REAL DE CIERRE </t>
  </si>
  <si>
    <t>ESTADO</t>
  </si>
  <si>
    <t>PRIORIZACIÓN</t>
  </si>
  <si>
    <t>Condición/Acción</t>
  </si>
  <si>
    <t>Condición Insegura</t>
  </si>
  <si>
    <t>Amoladora sin guardas (Angel Muela)</t>
  </si>
  <si>
    <t>Nuevo galpón</t>
  </si>
  <si>
    <t>Corte en alguna extremidad</t>
  </si>
  <si>
    <t>Proyectos Internos</t>
  </si>
  <si>
    <t>André Cobo</t>
  </si>
  <si>
    <t>Se retroalimenta al operador</t>
  </si>
  <si>
    <t>Nivel 3 – Moderado
 (Riesgo controlable)</t>
  </si>
  <si>
    <t>Acción Insegura</t>
  </si>
  <si>
    <t>Sin gafas (Angel Muela)</t>
  </si>
  <si>
    <t xml:space="preserve">Proyeccion de particulas a los ojos </t>
  </si>
  <si>
    <t>acercamiento al colaborador</t>
  </si>
  <si>
    <t>Sin gafas (EDI YOEL CAISAGUANO CHUQUITARCO)</t>
  </si>
  <si>
    <t>Corte y conformado</t>
  </si>
  <si>
    <t>Corte &amp; Conformado</t>
  </si>
  <si>
    <t>Pablo Velasco</t>
  </si>
  <si>
    <t>Sin Gafas ( Vera Carlos )</t>
  </si>
  <si>
    <t>PROYECTOS</t>
  </si>
  <si>
    <t>Manolo Atarihuana
Patricia Ortiz</t>
  </si>
  <si>
    <t>son tapones auditivos mientras ocupa maquina</t>
  </si>
  <si>
    <t xml:space="preserve">afectaccion a la audicion a largo plazo </t>
  </si>
  <si>
    <t>Manolo Atarihuana
WSR</t>
  </si>
  <si>
    <t>sin Gafas Alex Chacha</t>
  </si>
  <si>
    <t xml:space="preserve">Edison Bautista </t>
  </si>
  <si>
    <t>Caidas a distinto Nivel</t>
  </si>
  <si>
    <t>No existe delimitación de excavadora</t>
  </si>
  <si>
    <t>Galvanizado</t>
  </si>
  <si>
    <t>Choques vehiculares o golpes</t>
  </si>
  <si>
    <t>Se solicita la delimitación de la grúa al responsable</t>
  </si>
  <si>
    <t xml:space="preserve">Escalera de Tecoi Doblada </t>
  </si>
  <si>
    <t xml:space="preserve">Se notifica al supervisor encargado </t>
  </si>
  <si>
    <t>No existe delimitación de excavación</t>
  </si>
  <si>
    <t>Se solicita la delimitación del área al responsable</t>
  </si>
  <si>
    <t>condición Insegura</t>
  </si>
  <si>
    <t>Personal no usa EPP - Gafas</t>
  </si>
  <si>
    <t>Ingreso de particulas en ojos</t>
  </si>
  <si>
    <t>Se solicita al responsable realizar la entrega y cambio de gafas</t>
  </si>
  <si>
    <t xml:space="preserve">Equipo de elevacion sin delimitacion del perimetro </t>
  </si>
  <si>
    <t xml:space="preserve">caida de herramientas
golpes </t>
  </si>
  <si>
    <t>Manolo Atarihuana
DIMAC</t>
  </si>
  <si>
    <t xml:space="preserve">se procede a delimitar el perimtro con conos de seguridad </t>
  </si>
  <si>
    <t>Productos químicos sin identificación</t>
  </si>
  <si>
    <t>Manipulación inadecuada, uso incorrecto, derrames.</t>
  </si>
  <si>
    <t>Se solicita al reponsable etiquetar los prouctos químicos</t>
  </si>
  <si>
    <t>Nivel 2 – Alto (Riesgo grave)</t>
  </si>
  <si>
    <t>Operador sin uso de cinturon de seguridad</t>
  </si>
  <si>
    <t>Se retroalimenta al operador de la maquinaria sobre el uso del cinturon</t>
  </si>
  <si>
    <t>Se retroalimenta a la persona sobre el uso adecuado de las gafas</t>
  </si>
  <si>
    <t xml:space="preserve">Faja en mal estado </t>
  </si>
  <si>
    <t xml:space="preserve">sistemas metalicos </t>
  </si>
  <si>
    <t xml:space="preserve">aplastamiento </t>
  </si>
  <si>
    <t>cambio urgente de faja</t>
  </si>
  <si>
    <t>Alfajias Rotas</t>
  </si>
  <si>
    <t>retiro urgente de alfajia</t>
  </si>
  <si>
    <t>Postura incorrecta para levanatamiento de carga</t>
  </si>
  <si>
    <t>Trastornos musculoesqueléticos</t>
  </si>
  <si>
    <t>Retroalimentación sobre posturas adecuadas</t>
  </si>
  <si>
    <t>Paso habilitado para vehículos y montacargas en zona de operacion de excavadora</t>
  </si>
  <si>
    <t>Choques vehiculares, golpes o colisiones.</t>
  </si>
  <si>
    <t xml:space="preserve">Colocación de conos para cerrar el perímetro </t>
  </si>
  <si>
    <t>Falta de señalización en trabajos</t>
  </si>
  <si>
    <t>Choques, golpes, atropellos</t>
  </si>
  <si>
    <t>Colocación de señalética en puesto de trabajo</t>
  </si>
  <si>
    <t>Felix Duchi</t>
  </si>
  <si>
    <t>Cambio de envase y etiquetado del producto.</t>
  </si>
  <si>
    <t xml:space="preserve">Colaborador de WSR  se pasa por al frente del monta cargas cargado </t>
  </si>
  <si>
    <t xml:space="preserve">Frente a los tanques de acido </t>
  </si>
  <si>
    <t xml:space="preserve">Aplastamiento </t>
  </si>
  <si>
    <t xml:space="preserve">Reunion con los colaboradores </t>
  </si>
  <si>
    <t>Acción insegura</t>
  </si>
  <si>
    <t xml:space="preserve">Conductor de vehiculo pesado pasa por debajo de la plataforma </t>
  </si>
  <si>
    <t>atropellamiento</t>
  </si>
  <si>
    <t>Logística</t>
  </si>
  <si>
    <t>Logística
Cargo Steel</t>
  </si>
  <si>
    <t xml:space="preserve">Colaborador de WSR pintaba estructura sin guantas de proteccion </t>
  </si>
  <si>
    <t xml:space="preserve">Manipulación inadecuada de producto </t>
  </si>
  <si>
    <t xml:space="preserve">Ing. Andre Cobo abre la ventana apesar de la señaletica que indica la prohibicion que esta puesta </t>
  </si>
  <si>
    <t xml:space="preserve">Oficina Administrativa Planta </t>
  </si>
  <si>
    <t>Andre Cobo</t>
  </si>
  <si>
    <t>Se procede a cerrar la ventana.</t>
  </si>
  <si>
    <t xml:space="preserve">Tanque de gGLP si nseñaizacion del proyecto de las nuevas navez </t>
  </si>
  <si>
    <t>Incendio</t>
  </si>
  <si>
    <t xml:space="preserve">se procede a colocar señalizacion </t>
  </si>
  <si>
    <t>Bodega de almacenamiento de Quimicos n ocuenta con kit anteiderrame</t>
  </si>
  <si>
    <t xml:space="preserve">Derrames </t>
  </si>
  <si>
    <t xml:space="preserve">Se procede a colocar el kin antiderrame </t>
  </si>
  <si>
    <t>El sr Hugo Guachamin trabaja sin Gafas y sin guates</t>
  </si>
  <si>
    <t>Proyeccion de particulas a los ojos 
cortes</t>
  </si>
  <si>
    <t xml:space="preserve">Santiago Fonseca </t>
  </si>
  <si>
    <t xml:space="preserve">Socializacion con el personal </t>
  </si>
  <si>
    <t xml:space="preserve">El sr Carlos Galarza descarga con el Vehiculo encendido </t>
  </si>
  <si>
    <t xml:space="preserve">Frente al surtidor de combustible </t>
  </si>
  <si>
    <t xml:space="preserve">atropellamiento </t>
  </si>
  <si>
    <t xml:space="preserve">Cargo steel </t>
  </si>
  <si>
    <t xml:space="preserve">Socializacion con el Conductor </t>
  </si>
  <si>
    <t>Eslinga de cadena rota</t>
  </si>
  <si>
    <t xml:space="preserve">corte y conformado </t>
  </si>
  <si>
    <t>aplastamiento, caida de material, uso inadecuado</t>
  </si>
  <si>
    <t xml:space="preserve">Se informo al supervisor a cargo para la retirada de la cadena </t>
  </si>
  <si>
    <t xml:space="preserve">paso peatonal Obstaculiazado </t>
  </si>
  <si>
    <t>Caida de material, aplastamiento</t>
  </si>
  <si>
    <t xml:space="preserve">Se informo al supervisor a cargo para la retiro del material </t>
  </si>
  <si>
    <t xml:space="preserve">El Sr. Jordy Hurtado sin chompa Jean en el area de soldadura </t>
  </si>
  <si>
    <t xml:space="preserve">Soldadura </t>
  </si>
  <si>
    <t>Quemaduras, proyeccion de particulas</t>
  </si>
  <si>
    <t>Soldadura</t>
  </si>
  <si>
    <t xml:space="preserve">Brian Sarsoza </t>
  </si>
  <si>
    <t xml:space="preserve">Se hizo un acercamiento al sr Jordy Hurtado y al asistente de supervisor Marco choto. </t>
  </si>
  <si>
    <t xml:space="preserve">Material obstaculizando paso peatonal </t>
  </si>
  <si>
    <t xml:space="preserve">Pintura </t>
  </si>
  <si>
    <t xml:space="preserve">Caidas al mismo nivel </t>
  </si>
  <si>
    <t xml:space="preserve">El sr Luis Pilatagsi operador de excavadora deja que se suban a la oruga de la misma </t>
  </si>
  <si>
    <t>Nuevo Galpon</t>
  </si>
  <si>
    <t>Caidas a distinto nivel</t>
  </si>
  <si>
    <t xml:space="preserve">Manolo atarihuana 
WSR </t>
  </si>
  <si>
    <t>Se hizo un acercamiento y socializacion al sr. he informando los riesgos que conlleva esta accion.</t>
  </si>
  <si>
    <t>ACCIÓN INSEGURA</t>
  </si>
  <si>
    <t xml:space="preserve">Operadores del Manlif no colocan delimitacion de paso al rededor la maquinaria. </t>
  </si>
  <si>
    <t xml:space="preserve">golpes, atropellamientos, caidas a distinto y mismo nivel </t>
  </si>
  <si>
    <t>Manolo atarihuana 
Dimac</t>
  </si>
  <si>
    <t>Se le informo a la Tecnica de la empresa responsable y dio solución.</t>
  </si>
  <si>
    <t xml:space="preserve">Sin delimitacion de proyeccion de particulas </t>
  </si>
  <si>
    <t xml:space="preserve">Proyeccion de particulas a los ojos 
</t>
  </si>
  <si>
    <t>Manolo atarihuana 
Santiago Fonseca</t>
  </si>
  <si>
    <t xml:space="preserve">Se coloca señalizacion de proyeccion de particulas </t>
  </si>
  <si>
    <t xml:space="preserve">Extension de 110V en mal estado y  cables expuestos </t>
  </si>
  <si>
    <t>Riesgo de eletrocucion
caida a mismo nivel</t>
  </si>
  <si>
    <t>Reparacion de extension</t>
  </si>
  <si>
    <t xml:space="preserve">Caja electrica sin tapa </t>
  </si>
  <si>
    <t>Orlando Caiza</t>
  </si>
  <si>
    <t xml:space="preserve">Colocacion de tapa a caja electrica </t>
  </si>
  <si>
    <t>Paneles</t>
  </si>
  <si>
    <t xml:space="preserve">Daniel Espinoza </t>
  </si>
  <si>
    <t xml:space="preserve">Se realiza el cambio de faja </t>
  </si>
  <si>
    <t>El sr Luis Stalin Vasquez  se encontraba trabajando en la tina de zinc sin el mandil adecuado.</t>
  </si>
  <si>
    <t xml:space="preserve">Linea de Galvanizado </t>
  </si>
  <si>
    <t>Viales</t>
  </si>
  <si>
    <t>Mario Guaman</t>
  </si>
  <si>
    <t xml:space="preserve">Acercamiento al colaborador para que se coloque el mandil </t>
  </si>
  <si>
    <t>el Sr. Bayron Guanoluisa trabaja sin gafas</t>
  </si>
  <si>
    <t>Acercamiento al colaborador para que se coloque las gafas</t>
  </si>
  <si>
    <t xml:space="preserve">Sr. Marcelo Guitron sin gafas </t>
  </si>
  <si>
    <t xml:space="preserve">Manolo atarihuana </t>
  </si>
  <si>
    <t>Sr. Ezequiel Melo sin gafas</t>
  </si>
  <si>
    <t xml:space="preserve">se socializa y se sensibiliza los riesgos que conlleva la acción insegura </t>
  </si>
  <si>
    <t xml:space="preserve">Sr. Javier Guerra conductor de guras clavijo mantiene el vehiculo encendido </t>
  </si>
  <si>
    <t>Mantenimiento</t>
  </si>
  <si>
    <t>Edison Gualotuña</t>
  </si>
  <si>
    <t>Acercamiento al conductor y proceder a apagar el vehiculo.</t>
  </si>
  <si>
    <t xml:space="preserve">condición insegura </t>
  </si>
  <si>
    <t xml:space="preserve">Tanques de  GLP sin la cadena de seguridad </t>
  </si>
  <si>
    <t xml:space="preserve">Nave de pintura </t>
  </si>
  <si>
    <t xml:space="preserve">Se informa al supervisor de la condicon y se procede a solventar la condicion </t>
  </si>
  <si>
    <t xml:space="preserve">Ducha de emergencia y lavamanos sin presion de agua </t>
  </si>
  <si>
    <t xml:space="preserve">Viales 
linea de galvanizado </t>
  </si>
  <si>
    <t xml:space="preserve">Quemaduras, intoxicacion </t>
  </si>
  <si>
    <t>Ing. Luis Pilco</t>
  </si>
  <si>
    <t xml:space="preserve">Se procede a informar y pedir de manera urgente se que solvente esta condicion. </t>
  </si>
  <si>
    <t xml:space="preserve">Bonina sin topes de seguridad </t>
  </si>
  <si>
    <t>Linea de Galvanizado 
logistica</t>
  </si>
  <si>
    <t>Lizbeth Ambuludi</t>
  </si>
  <si>
    <t xml:space="preserve">Se procede a poner topes en la bonina y se reporta al area de logista </t>
  </si>
  <si>
    <t xml:space="preserve">condición insegura  </t>
  </si>
  <si>
    <t xml:space="preserve">Pluma elevada </t>
  </si>
  <si>
    <t>Corte y conformado
prensa 1000</t>
  </si>
  <si>
    <t>Quimicos sin el HMISS III</t>
  </si>
  <si>
    <t xml:space="preserve">Paneles </t>
  </si>
  <si>
    <t>Intoxicacion</t>
  </si>
  <si>
    <t>Se informa la supervisor y procede a solventar la condicion</t>
  </si>
  <si>
    <t>Piso de la Novalosa 76¨</t>
  </si>
  <si>
    <t>Daniel Espinoza 
Ing. Luis Pilco</t>
  </si>
  <si>
    <t xml:space="preserve"> la estructura oreja de izaje rota</t>
  </si>
  <si>
    <t xml:space="preserve">Corte y conformado </t>
  </si>
  <si>
    <t xml:space="preserve">acción insegura </t>
  </si>
  <si>
    <t>Se identifica relizando izaje de estructura con equipo no adecuado</t>
  </si>
  <si>
    <t xml:space="preserve">se realiza llamado de atención verbal al señor Luis Catagña y se informa al supervisor para la debida retroalimentacion </t>
  </si>
  <si>
    <t xml:space="preserve">Condición insegura </t>
  </si>
  <si>
    <t xml:space="preserve">Tapa abierta en el area de soldadura </t>
  </si>
  <si>
    <t xml:space="preserve">Caida a distinto nivel </t>
  </si>
  <si>
    <t>Se informa a supervisor y procede a dar retroalimentacion</t>
  </si>
  <si>
    <t>El Fredy Montoya deja la aplandora encendida</t>
  </si>
  <si>
    <t xml:space="preserve">Atropellamiento </t>
  </si>
  <si>
    <t>Manolo atarihuana 
Santiago Fonseca WSR</t>
  </si>
  <si>
    <t>Se informa al supervirsor a cargo y se solicita un llamado de atencion firmado por la persona</t>
  </si>
  <si>
    <t>Caja electrica sin senalizacion</t>
  </si>
  <si>
    <t xml:space="preserve">Se procede a colocar la señalizacion adecuada </t>
  </si>
  <si>
    <t>Caneta de diesel sin HMISS III</t>
  </si>
  <si>
    <t>Manolo atarihuana 
Orlando Caiza</t>
  </si>
  <si>
    <t>Se informa al tecnico responsable para solventar condicion</t>
  </si>
  <si>
    <t>tapa de  la granalladora abierta sin señalozacion</t>
  </si>
  <si>
    <t xml:space="preserve">Caidas a diferente nivel </t>
  </si>
  <si>
    <t xml:space="preserve">tanque de CO2 sin asegurar </t>
  </si>
  <si>
    <t xml:space="preserve">aplstamiento </t>
  </si>
  <si>
    <t xml:space="preserve">Manolo atarihuana
Soldadura de calidad </t>
  </si>
  <si>
    <t xml:space="preserve">Se procede a informar a la tecnica encargada y solventa la condicion </t>
  </si>
  <si>
    <t xml:space="preserve">Bobina sobre el agua </t>
  </si>
  <si>
    <t xml:space="preserve">ciada al mismo nivel 
aplastamiento </t>
  </si>
  <si>
    <t xml:space="preserve">se Procede a colocar a debajo de la bobina tablas </t>
  </si>
  <si>
    <t xml:space="preserve">Paso peatol obstaculizado </t>
  </si>
  <si>
    <t xml:space="preserve">Se informar al supervisor para el retitro de los obstaculos </t>
  </si>
  <si>
    <t xml:space="preserve">Espacio limitado para el trabajo y movimiento de la bobina </t>
  </si>
  <si>
    <t xml:space="preserve">Caida a mismo nivel 
golpe </t>
  </si>
  <si>
    <t xml:space="preserve">Daniel espiniza
Manolo atarihuna </t>
  </si>
  <si>
    <t xml:space="preserve">Se coordina con el aencargado de obra para solventar la condicion </t>
  </si>
  <si>
    <t>ausencia de guardas de protección en la zona de rodillos y mecanismos de ajuste del equipo de la máquina SLITTER</t>
  </si>
  <si>
    <t xml:space="preserve">paneles </t>
  </si>
  <si>
    <t xml:space="preserve">Atrapamiento de manos 
Aplastamiento  de manos
cortes de manos </t>
  </si>
  <si>
    <t xml:space="preserve">Daneiel Espinoza </t>
  </si>
  <si>
    <t>Implementar guardas físicas o protectores metálicos que impidan el acceso directo a los puntos de atrapamiento.</t>
  </si>
  <si>
    <t xml:space="preserve">Aplilamiento incorrecto de material </t>
  </si>
  <si>
    <t>Se Procede a informar al supervisor encargado para la solventacion de la condicion</t>
  </si>
  <si>
    <t xml:space="preserve">Cuarto Electrico sin señalizacion </t>
  </si>
  <si>
    <t xml:space="preserve">Riesgos de electrocucion </t>
  </si>
  <si>
    <t xml:space="preserve">Paso peatonal obstaculizado </t>
  </si>
  <si>
    <t xml:space="preserve">Caida a distinto nivel 
Cortes
Aplastamiento </t>
  </si>
  <si>
    <t xml:space="preserve">Se solicata el cambio de la faja de inmediato </t>
  </si>
  <si>
    <t xml:space="preserve">Soldadura
Simetrika </t>
  </si>
  <si>
    <t>Aplastamiento 
caida de material</t>
  </si>
  <si>
    <t xml:space="preserve">Luis taco </t>
  </si>
  <si>
    <t>Se procede a asegurar los tanques de CO2</t>
  </si>
  <si>
    <t xml:space="preserve">Zona de apilamiento con altura que supera 1.80m no permitido </t>
  </si>
  <si>
    <t xml:space="preserve">Se Procede a informar al supervisor encargado para organizar de mejor manera el producto </t>
  </si>
  <si>
    <t xml:space="preserve">Personal  ocupa caneca de diesel como soporte 
caneta de diesel sin HMISS III </t>
  </si>
  <si>
    <t xml:space="preserve">Caida a distinto nivel 
intoxicicacion </t>
  </si>
  <si>
    <t xml:space="preserve">Se informa al tecnico responsable para solventar condicion y se hace un acercamiento al personal para evitar este tipo de acciones inseguras </t>
  </si>
  <si>
    <t xml:space="preserve">Extintor sin colocar etiqueta </t>
  </si>
  <si>
    <t>Se informa al tecnico responsable para solventar condición</t>
  </si>
  <si>
    <t>No se advierte el reisgo en maquina de produccion</t>
  </si>
  <si>
    <t xml:space="preserve">Daniel Espinoza 
</t>
  </si>
  <si>
    <t xml:space="preserve">Se procede a colocar la señaletica correspondiente </t>
  </si>
  <si>
    <t xml:space="preserve">tapa de  la granalladora abierta sin señalozacion, sin delimitacion y sin PTE  para espacios confinados </t>
  </si>
  <si>
    <t>soldadura</t>
  </si>
  <si>
    <t xml:space="preserve">Caida a distinto nivel 
</t>
  </si>
  <si>
    <t xml:space="preserve">Se informa a supervisor para solventar la condicion y Realizar el PTE correspondiente </t>
  </si>
  <si>
    <t>Se evidencia el uso de un dispositivo de izaje hechizo (fabricación artesanal) compuesto por perfiles metálicos soldados y una cadena, el cual no cuenta con identificación técnica, placa de capacidad de carga ni certificación</t>
  </si>
  <si>
    <t xml:space="preserve">mario Guaman / Steven Morales </t>
  </si>
  <si>
    <t xml:space="preserve">Se solicita que se retire de inmedito esta herramienta hechiza por falta de certificación </t>
  </si>
  <si>
    <t xml:space="preserve">Acción insegura </t>
  </si>
  <si>
    <t xml:space="preserve">No se aseguran los adamios </t>
  </si>
  <si>
    <t xml:space="preserve">Caida a difente nivel
aplastamiento </t>
  </si>
  <si>
    <t xml:space="preserve">santiago fonseca </t>
  </si>
  <si>
    <t xml:space="preserve">Se solicita que se asegure los andamios </t>
  </si>
  <si>
    <t xml:space="preserve">Tijera de izaje en mal estado </t>
  </si>
  <si>
    <t xml:space="preserve">caida de material 
aplastamiento </t>
  </si>
  <si>
    <t xml:space="preserve">Se Procede a informar al supervisor encargado para la solventacion de la condicion
Se retira de manera urgente la tiejra de izaje </t>
  </si>
  <si>
    <t xml:space="preserve">Pasadores de cadena en mal estado </t>
  </si>
  <si>
    <t xml:space="preserve">Se solicita que se cambien los pasadores por unos en mejor estado </t>
  </si>
  <si>
    <t xml:space="preserve">Area de izaje de carga con grua sin delimitacion de espacio </t>
  </si>
  <si>
    <t xml:space="preserve">Ciada de material 
aplastamiento </t>
  </si>
  <si>
    <t xml:space="preserve">Se Solicita que se delimite la zona de izaje de carga </t>
  </si>
  <si>
    <t xml:space="preserve">Diesel mal almacenado </t>
  </si>
  <si>
    <t xml:space="preserve">Nuevo galpon </t>
  </si>
  <si>
    <t>ciada a mismo nivel
intoxicacion</t>
  </si>
  <si>
    <t xml:space="preserve">Se Retira el diesel </t>
  </si>
  <si>
    <t>No existe espejos convexos en pasos de transporte pesado.</t>
  </si>
  <si>
    <t>Logística, pasos vehículares</t>
  </si>
  <si>
    <t>Atropellos, golpes, aplastamiento</t>
  </si>
  <si>
    <t>SYSO</t>
  </si>
  <si>
    <t>Instalación de espejos convexos en puntos estratégicos</t>
  </si>
  <si>
    <t>Pared y estrutura deformada</t>
  </si>
  <si>
    <t>Desplome estructural</t>
  </si>
  <si>
    <t xml:space="preserve">reparacion del muro de manera urgente </t>
  </si>
  <si>
    <t xml:space="preserve">extintor descargado </t>
  </si>
  <si>
    <t>Quemaduras</t>
  </si>
  <si>
    <t>recargar de manera urgnete el extintor</t>
  </si>
  <si>
    <t xml:space="preserve">Toma corrientes en mal estado </t>
  </si>
  <si>
    <t xml:space="preserve">electrocucion </t>
  </si>
  <si>
    <t xml:space="preserve">Realizar el cambio de manera urgente </t>
  </si>
  <si>
    <t xml:space="preserve">caida de material, aplastamiento, atrapamiento </t>
  </si>
  <si>
    <t xml:space="preserve">Realizar el cambio de manera urgente de la faja </t>
  </si>
  <si>
    <t xml:space="preserve">escombros suspendidos en lona de contenccion  rota </t>
  </si>
  <si>
    <t xml:space="preserve">ampliacion edificio administrativo </t>
  </si>
  <si>
    <t>Manolo atarihuana 
cuatro paredes</t>
  </si>
  <si>
    <t xml:space="preserve">Retirar de inmeidato los escombros de la lona </t>
  </si>
  <si>
    <t>condicion insegura</t>
  </si>
  <si>
    <t xml:space="preserve">soldadura </t>
  </si>
  <si>
    <t xml:space="preserve">Se solicita que se asegure el tanque con cadenas </t>
  </si>
  <si>
    <t>tableros sin amarar al andamio</t>
  </si>
  <si>
    <t>ampliacion edificio administrativo</t>
  </si>
  <si>
    <t xml:space="preserve">caida a diferente nivel </t>
  </si>
  <si>
    <t xml:space="preserve">se solicita que se amarre los tableros al andamio </t>
  </si>
  <si>
    <t xml:space="preserve">Paso peatonal hacia el botiquin con obstaculos </t>
  </si>
  <si>
    <t>Novalosa</t>
  </si>
  <si>
    <t xml:space="preserve">Caida a mismo nivel 
</t>
  </si>
  <si>
    <t xml:space="preserve">se procedio a despejar el paso peatonal </t>
  </si>
  <si>
    <t xml:space="preserve">bobina obstaculizacon el paso peatonal </t>
  </si>
  <si>
    <t xml:space="preserve">caida a mismo nivel
aplastamiento </t>
  </si>
  <si>
    <t xml:space="preserve">Se solicita que se retire del paso peatonal </t>
  </si>
  <si>
    <t>Personal de servicios generales cortando el cesped sin el protector de rostro</t>
  </si>
  <si>
    <t xml:space="preserve">Planta Quito </t>
  </si>
  <si>
    <t xml:space="preserve">proyeccion de particulas a los ojos </t>
  </si>
  <si>
    <t>Wilmer Sarango</t>
  </si>
  <si>
    <t xml:space="preserve">se procede a informar al supervisor a cargo y se solicita que se ponga el colaborador el protector de rostro </t>
  </si>
  <si>
    <t>Liquido refrrigerante sin el HMISS II</t>
  </si>
  <si>
    <t>intoxicacion</t>
  </si>
  <si>
    <t xml:space="preserve">pablo velasco </t>
  </si>
  <si>
    <t>se reporta la condicion insegura al supervisor encargado y se solicita que se coloque el HMISS III</t>
  </si>
  <si>
    <t xml:space="preserve">Caballete en mal estado en el area de viales </t>
  </si>
  <si>
    <t xml:space="preserve">Viales </t>
  </si>
  <si>
    <t xml:space="preserve">Mario Guaman </t>
  </si>
  <si>
    <t>Se solicita que se retire del proceso</t>
  </si>
  <si>
    <t xml:space="preserve">Linea de galvanizado sin orden y limpieza </t>
  </si>
  <si>
    <t xml:space="preserve">Steven Morales </t>
  </si>
  <si>
    <t>Se solicita el orden y limpieza</t>
  </si>
  <si>
    <t xml:space="preserve">Area de excavacion sin delimitacion </t>
  </si>
  <si>
    <t>Nuevo galpon</t>
  </si>
  <si>
    <t xml:space="preserve">Se solicita delimitar la zona </t>
  </si>
  <si>
    <t xml:space="preserve">Area de excavacion sin delimitacion (cerca al area de soldadura ) </t>
  </si>
  <si>
    <t>Delimitacion de la zona de excacacion</t>
  </si>
  <si>
    <t xml:space="preserve">accion insegura </t>
  </si>
  <si>
    <t>Personal de transporte/logista manipulando material sin guantes</t>
  </si>
  <si>
    <t xml:space="preserve">Logista </t>
  </si>
  <si>
    <t xml:space="preserve">Corte en manos </t>
  </si>
  <si>
    <t>Alejandro Pesantez</t>
  </si>
  <si>
    <t xml:space="preserve">Socializacion del peligro y riesgo </t>
  </si>
  <si>
    <t xml:space="preserve">personal de cuatro Paredes trabajando sin EPP </t>
  </si>
  <si>
    <t xml:space="preserve">caida de material,corte, golpe </t>
  </si>
  <si>
    <t xml:space="preserve">Personal del area de viales(alcantarillado) trabajado sin guantes </t>
  </si>
  <si>
    <t xml:space="preserve">Sencibilizacion de la accion insegura </t>
  </si>
  <si>
    <t xml:space="preserve">Personal de orlando caiza trabajando con guantes en mal estado </t>
  </si>
  <si>
    <t xml:space="preserve">Paneles ( exterior ) </t>
  </si>
  <si>
    <t xml:space="preserve">Orlando caiza </t>
  </si>
  <si>
    <t xml:space="preserve">Se solicita a tecnica encargada el cambio de inmediato de los guantes </t>
  </si>
  <si>
    <t>Personal de area de calidad  verifica la calidad una viga, pero la misma esta suspendida.</t>
  </si>
  <si>
    <t xml:space="preserve">Caida de material 
aplastamiento </t>
  </si>
  <si>
    <t>Gabriela Murillo
Brian sarzosa</t>
  </si>
  <si>
    <t>Se verifica con supervisora de calidad el procedimiento y se da retroalimentacion</t>
  </si>
  <si>
    <t xml:space="preserve">Area de soldadura en altura sin delimitar </t>
  </si>
  <si>
    <t>proyeccion de particulas a los ojos 
Quemaduras</t>
  </si>
  <si>
    <t xml:space="preserve">Se solicita al tecnico delimitar la zona de soldadura en altura </t>
  </si>
  <si>
    <t>a Contratista Orlando caiza se le para la obra por no tener la AST y PTE correspondientes a la actividad y por no hacer la debida notificacion</t>
  </si>
  <si>
    <t xml:space="preserve">peligros y riesgos  de la actividad sin identificar </t>
  </si>
  <si>
    <t xml:space="preserve">pablo velasco 
Orlando caiza </t>
  </si>
  <si>
    <t xml:space="preserve">Se para la actividad y se procede a realizar el AST y  PTE </t>
  </si>
  <si>
    <t xml:space="preserve">Maquina con rodamiento expuesto </t>
  </si>
  <si>
    <t xml:space="preserve">Alisadora </t>
  </si>
  <si>
    <t>Atrapamiento</t>
  </si>
  <si>
    <t xml:space="preserve">Se solicita al supervisor del area colocar una tapa </t>
  </si>
  <si>
    <t xml:space="preserve">material mal ubicado </t>
  </si>
  <si>
    <t xml:space="preserve">Se solicita al supervisor y asistente la solventacion de la condicion </t>
  </si>
  <si>
    <t xml:space="preserve">Paso por el area de pintura en desnivel </t>
  </si>
  <si>
    <t xml:space="preserve">pintura </t>
  </si>
  <si>
    <t xml:space="preserve">Material apilado a mas de 1,80m </t>
  </si>
  <si>
    <t xml:space="preserve">Se le solicita al supervisor que se solvente la novedad </t>
  </si>
  <si>
    <t xml:space="preserve">Extension electrica en mal estado </t>
  </si>
  <si>
    <t xml:space="preserve">electorcucion </t>
  </si>
  <si>
    <t xml:space="preserve">Se solicita que se cambie la extension </t>
  </si>
  <si>
    <t>El proceso de cargar la bobina y llevarle hasta la mesa se necesita una cadena de 3/4 o 5/8 la que actualmente usan no es la adecuada, según su criterio técnico se levanta una condición insegura y se solicita de manera urgente analizar la compra de esta cadena para soportar el peso de 10 TON</t>
  </si>
  <si>
    <t>pablo velasco</t>
  </si>
  <si>
    <t xml:space="preserve">Se solicita la revison y cambio de la cadena de manera urgente </t>
  </si>
  <si>
    <t xml:space="preserve">Se observa que una alarma de la Rollformer se encuentra encendida y hay un sonido fuera de los limites permitidos en toda la nave </t>
  </si>
  <si>
    <t xml:space="preserve">viales </t>
  </si>
  <si>
    <t xml:space="preserve">Capacidad auditiva afectada </t>
  </si>
  <si>
    <t xml:space="preserve">Area de trabajo en caliente en altura sin delimitacion </t>
  </si>
  <si>
    <t xml:space="preserve">Proyección de particulas </t>
  </si>
  <si>
    <t xml:space="preserve">Se le solicita al tecnico encargado delimitar la zona </t>
  </si>
  <si>
    <t xml:space="preserve">Toma corriente sin tapa </t>
  </si>
  <si>
    <t xml:space="preserve">Se le solicita al tecnico encargado colocar tapa en toma corriente </t>
  </si>
  <si>
    <t xml:space="preserve">Se le solicita al tecnico encargado asegurar tablones </t>
  </si>
  <si>
    <t xml:space="preserve">cable electrico en mal estado </t>
  </si>
  <si>
    <t>Daniel Espinoza 
orlando caiza</t>
  </si>
  <si>
    <t xml:space="preserve">cambiar el cable electrico </t>
  </si>
  <si>
    <t xml:space="preserve">Cableado expuesto </t>
  </si>
  <si>
    <t xml:space="preserve">Sebastian Balseca </t>
  </si>
  <si>
    <t>Se le coloca tapie en la parte expuesta</t>
  </si>
  <si>
    <t xml:space="preserve">Personal sin proteccion auditiva </t>
  </si>
  <si>
    <t xml:space="preserve">daño permanente al oido </t>
  </si>
  <si>
    <t>Manolo</t>
  </si>
  <si>
    <t>Se procede a dar retroalimentacion al personal sobre el uso de la proteccion auditiva</t>
  </si>
  <si>
    <t>caneca de quimicos sin HMISS III</t>
  </si>
  <si>
    <t xml:space="preserve">Intoxicacion </t>
  </si>
  <si>
    <t xml:space="preserve">Se solicita al tecnico encargado colocar el HMISS III </t>
  </si>
  <si>
    <t xml:space="preserve">Personal soldando sin la proteccion facial </t>
  </si>
  <si>
    <t>Soldadura 
Contratista Simetrika</t>
  </si>
  <si>
    <t xml:space="preserve">Proyeccion de particulas </t>
  </si>
  <si>
    <t xml:space="preserve">Se socializa el tema del uso de proteccion facial </t>
  </si>
  <si>
    <t xml:space="preserve">Caballetes en zona de roladora </t>
  </si>
  <si>
    <t xml:space="preserve">caida de material
aplastamiento </t>
  </si>
  <si>
    <t>mario Guaman</t>
  </si>
  <si>
    <t>Se solicita que se diseñe una mesa para esa zona</t>
  </si>
  <si>
    <t xml:space="preserve">El sr. Luis Ponce se encontraba hablando por telefono y encima de una plancha mientras el puente grua 20ton (Iman)  se movia </t>
  </si>
  <si>
    <t xml:space="preserve">Logistica </t>
  </si>
  <si>
    <t>caida a mismo nivel
aplastamiento 
corte
golpe</t>
  </si>
  <si>
    <t xml:space="preserve">Se socializa con el sr, sobre los riesgos que conlleva este tipo acciones 
(se mantiene abierta hasta socializar con el sr.) </t>
  </si>
  <si>
    <t xml:space="preserve">Cinta peligro en el suelo </t>
  </si>
  <si>
    <t xml:space="preserve">Excavacion a lado de la nave de soldadura </t>
  </si>
  <si>
    <t xml:space="preserve">Se pide a los trabajadores de WSR que se eleve la cinta peligro </t>
  </si>
  <si>
    <t xml:space="preserve">Conductor no se coloca el barbiquejo </t>
  </si>
  <si>
    <t xml:space="preserve">Sistemas metalicos </t>
  </si>
  <si>
    <t xml:space="preserve">caida a diferente nivel
golpe </t>
  </si>
  <si>
    <t xml:space="preserve">contratista cargo steel </t>
  </si>
  <si>
    <t>Se le pide a la persona que se coloque el barbiquejo</t>
  </si>
  <si>
    <t xml:space="preserve">Prensa175 (ton) sin señalizacion de peligro y riesgos </t>
  </si>
  <si>
    <t>Cortes
golpes
atrapamieto</t>
  </si>
  <si>
    <t>Equipo SYSO</t>
  </si>
  <si>
    <t xml:space="preserve">Se procede a colocar señaletica </t>
  </si>
  <si>
    <t>el sr. Luis Valdiviezo no señala o advierte el peligro al momento de cargar las c-us</t>
  </si>
  <si>
    <t xml:space="preserve">Golpes
atrapamiento
aplastamiento </t>
  </si>
  <si>
    <t xml:space="preserve">Se sencibiliza la sutuacion con el sr. Luis Valdiviezo </t>
  </si>
  <si>
    <t>material mal apilado</t>
  </si>
  <si>
    <t xml:space="preserve">Se pide al supervisor que se apile de mejor manera </t>
  </si>
  <si>
    <t>condición insegura</t>
  </si>
  <si>
    <t>Faja en mal estaado</t>
  </si>
  <si>
    <t>Se pide que se cambie la faja de manera inmediata</t>
  </si>
  <si>
    <t>material mal apilado
paso peatonal obstaculizado</t>
  </si>
  <si>
    <t>Se pide que se apile de mejor manera</t>
  </si>
  <si>
    <t xml:space="preserve">Caja electrica en malas condiciones </t>
  </si>
  <si>
    <t xml:space="preserve">Electrocucion </t>
  </si>
  <si>
    <t>Manolo atarihuana 
dimac</t>
  </si>
  <si>
    <t xml:space="preserve">Se solicita al tecnico encargado el arreglo de la caja </t>
  </si>
  <si>
    <t>Tanque de gas expuuesto cuando no se usa</t>
  </si>
  <si>
    <t>Caida al mismo nivel 
quemaduras</t>
  </si>
  <si>
    <t xml:space="preserve">Se solicita al tecnico encargado solventar la condición </t>
  </si>
  <si>
    <t xml:space="preserve">Varias extensiones con cableado expuesto </t>
  </si>
  <si>
    <t>Manolo atarihuana 
dimac
santiago Fonseca</t>
  </si>
  <si>
    <t>acción insegura</t>
  </si>
  <si>
    <t xml:space="preserve">trabajador de WSR corta con amoladora sin proteccion facial </t>
  </si>
  <si>
    <t>Se socializa con el trabajador y procede a colocarse el protector facial</t>
  </si>
  <si>
    <t>cadenas del area de viales linea de galvanizado con oxido profundo</t>
  </si>
  <si>
    <t xml:space="preserve">caida de material
intoxicacion
aplastamiento </t>
  </si>
  <si>
    <t xml:space="preserve">Despues de la inspeccion se procede a dar de baja las cadenas de manera inmediata </t>
  </si>
  <si>
    <t>Cadena de corte y conformado con deformaciones en las anilladas y los eslabones</t>
  </si>
  <si>
    <t xml:space="preserve">Se procede a dar de baja la cadena informando al supervisor a cargo </t>
  </si>
  <si>
    <t xml:space="preserve">Contratista Simetrika manipula el tablero electrico del puente grua </t>
  </si>
  <si>
    <t>Edison Lema 
Luis Pilco 
Alvaro Tapia</t>
  </si>
  <si>
    <t>Se informa al area de mantenimiento electrico y se les pide que informen que no pueden ocupar los contratistas la caja electrica que se haga un control</t>
  </si>
  <si>
    <t xml:space="preserve">Chavetas en mal estado de cadena </t>
  </si>
  <si>
    <t xml:space="preserve">Brian Sarzosa </t>
  </si>
  <si>
    <t>Se solicita el cambio de chavetas de la cadena de la corimpex</t>
  </si>
  <si>
    <t xml:space="preserve">grillete en mal estado y una herramienta hechiza colocada </t>
  </si>
  <si>
    <t>Se pide que se retire de manera urgente la herramienta hechiza y que se repare la cama de izaje</t>
  </si>
  <si>
    <t>Accion insegura / Condicion insegura</t>
  </si>
  <si>
    <t xml:space="preserve">Contratista TDR realiza trabajos en altura sin el PTE de altura </t>
  </si>
  <si>
    <t xml:space="preserve">Entrada trasera posterior de logistica  </t>
  </si>
  <si>
    <t xml:space="preserve">Caida a diferente nivel
golpe </t>
  </si>
  <si>
    <t xml:space="preserve">Edison Lema 
</t>
  </si>
  <si>
    <t xml:space="preserve">Se le paro el trabajo y se notifico al area encargada </t>
  </si>
  <si>
    <t xml:space="preserve">Accion insegura </t>
  </si>
  <si>
    <t>manolo</t>
  </si>
  <si>
    <t>Ing. Andre Cobo reincide con accion insegura de abrir la ventana apesar de la señaletica que indica que esta prohibido</t>
  </si>
  <si>
    <t>Oficinas planta</t>
  </si>
  <si>
    <t>Se registra en Base de datos la reinsidencia</t>
  </si>
  <si>
    <t>Sujeción de material inapropiado</t>
  </si>
  <si>
    <t xml:space="preserve">Se le solicita al supervisor verificar y mejorar la sujeción de material </t>
  </si>
  <si>
    <t>Faja en mal estado</t>
  </si>
  <si>
    <t xml:space="preserve">Se pide al supervisor que se cambie de faja </t>
  </si>
  <si>
    <t xml:space="preserve">Colaboradores del área de paneles realizan accion insegura </t>
  </si>
  <si>
    <t xml:space="preserve">Se socializa con el personal sobre los riesgos que conlleva este tipo de acciones </t>
  </si>
  <si>
    <t xml:space="preserve">El sr Juan Chicaiza manipula paneles sin guantes </t>
  </si>
  <si>
    <t>Infracestructura</t>
  </si>
  <si>
    <t xml:space="preserve">cortes </t>
  </si>
  <si>
    <t>Instalaciones</t>
  </si>
  <si>
    <t xml:space="preserve">Omar Querembas </t>
  </si>
  <si>
    <t>Se socializa con el Sr sobre los riesgos que conlleva la acción insegura</t>
  </si>
  <si>
    <t>Personal de WSR ocupa amoladora sin guarda</t>
  </si>
  <si>
    <t>Obra civil al lado de pintura</t>
  </si>
  <si>
    <t>Cortes</t>
  </si>
  <si>
    <t>Se pide al colaborador que coloque la guarda</t>
  </si>
  <si>
    <t xml:space="preserve">Personal de WSR labora sin gafas </t>
  </si>
  <si>
    <t xml:space="preserve">proyeccion de particulas </t>
  </si>
  <si>
    <t xml:space="preserve">Se socializa con la persona sobre los riesgos que conlleva la acción </t>
  </si>
  <si>
    <t xml:space="preserve">área de trabajo sin delimitación de paso </t>
  </si>
  <si>
    <t xml:space="preserve">caida a diferente nivel
</t>
  </si>
  <si>
    <t xml:space="preserve">Se solicita a Tecnico encargado que delimite la zona de trabajo </t>
  </si>
  <si>
    <t xml:space="preserve">Personal de WSR  se desplaza por el techo sin sujetarse a linea de vida </t>
  </si>
  <si>
    <t>Se hace un llamado de atención a toda la cuadrilla y se sencibiliza los riesgos que conlleva esta acción</t>
  </si>
  <si>
    <t xml:space="preserve">Extension empatada </t>
  </si>
  <si>
    <t xml:space="preserve">electrocución </t>
  </si>
  <si>
    <t>Se solicita el cambio inmediato de la extensión</t>
  </si>
  <si>
    <t>Extensión sobre el agua (estado critico)</t>
  </si>
  <si>
    <t xml:space="preserve">Electrocución </t>
  </si>
  <si>
    <t xml:space="preserve">Se solicita que se aisle la extención si no la ocupan </t>
  </si>
  <si>
    <t xml:space="preserve">Camino para maquinaria inseguro </t>
  </si>
  <si>
    <t xml:space="preserve">caida a diferente nivel 
Caida de material </t>
  </si>
  <si>
    <t>Se solicita cerrar el paso</t>
  </si>
  <si>
    <t xml:space="preserve">delimitación inadecuada </t>
  </si>
  <si>
    <t xml:space="preserve">se solicita que se adecue la delimitación </t>
  </si>
  <si>
    <t xml:space="preserve">Caja de toma corriente de alto voltaje y breakers sin cerras </t>
  </si>
  <si>
    <t xml:space="preserve">Se solicita que se tape la caja de toma corriente de alto voltaje </t>
  </si>
  <si>
    <t xml:space="preserve">Zonas de soldadura en altura sin delimitación </t>
  </si>
  <si>
    <t xml:space="preserve">Caida de particulas </t>
  </si>
  <si>
    <t>Se solicita que se delimite de manera urgente las zonas de trabajo ya que son varias
(se adjunta una fotografia de evidencia, por son varias)</t>
  </si>
  <si>
    <t>Condición insegura</t>
  </si>
  <si>
    <t>jalan manualmente flejes con riesgo de corte y aplastamiento</t>
  </si>
  <si>
    <t xml:space="preserve">Granalladora </t>
  </si>
  <si>
    <t>corte y aplastamiento</t>
  </si>
  <si>
    <t>Brian Sarzosa</t>
  </si>
  <si>
    <t>Revisión de metodo de trabajo y cambios en ello</t>
  </si>
  <si>
    <t>área de trabajo sin delimitación</t>
  </si>
  <si>
    <t>Ciada de material
Poryección de particulas</t>
  </si>
  <si>
    <t>Daniel Espinoza</t>
  </si>
  <si>
    <t>Se coloca cinta de peligro en la zona de trabajo.</t>
  </si>
  <si>
    <t>Material con clavos</t>
  </si>
  <si>
    <t>Punzaciones</t>
  </si>
  <si>
    <t>Retiro de material con clavos del área</t>
  </si>
  <si>
    <t xml:space="preserve">Tanques de co2 sin asegurar </t>
  </si>
  <si>
    <t xml:space="preserve">Se pide que se aseguro los tanques de co2 </t>
  </si>
  <si>
    <t xml:space="preserve">Extensión en mal estado </t>
  </si>
  <si>
    <t>Electrocución</t>
  </si>
  <si>
    <t xml:space="preserve">Se informa al supervisor para la solventación de condición </t>
  </si>
  <si>
    <t xml:space="preserve">Se da de baja la faja en mal estado </t>
  </si>
  <si>
    <t xml:space="preserve">Área de izaje de carga pesada  sin delimitación </t>
  </si>
  <si>
    <t>Proyectos</t>
  </si>
  <si>
    <t>DIMAC</t>
  </si>
  <si>
    <t xml:space="preserve">Delimitación de zona de  izaje </t>
  </si>
  <si>
    <t xml:space="preserve">Ducha de emergencian obstaculizada </t>
  </si>
  <si>
    <t>Linea de galvanizado</t>
  </si>
  <si>
    <t>Steven Morales</t>
  </si>
  <si>
    <t>Se solicita que se despeje el área</t>
  </si>
  <si>
    <t>Logistica</t>
  </si>
  <si>
    <t xml:space="preserve">Se pide dar de baja </t>
  </si>
  <si>
    <t xml:space="preserve">Acción Insegura </t>
  </si>
  <si>
    <t>-+</t>
  </si>
  <si>
    <t>ampliación de oficinas de administración</t>
  </si>
  <si>
    <t xml:space="preserve">Sanciones legales (auditorias) </t>
  </si>
  <si>
    <t>BYGGER</t>
  </si>
  <si>
    <t xml:space="preserve">Llamado de atención </t>
  </si>
  <si>
    <t>Portamaza en mal estado</t>
  </si>
  <si>
    <t>WSR</t>
  </si>
  <si>
    <t>Se solicita que se reemplace</t>
  </si>
  <si>
    <t>Extintor de contratista simetrika se encuentra descargado</t>
  </si>
  <si>
    <t xml:space="preserve">Simetrika </t>
  </si>
  <si>
    <t>Se solicita que se recargue el extintor</t>
  </si>
  <si>
    <t>Ciada de material</t>
  </si>
  <si>
    <t xml:space="preserve">Se solicita que se dé de baja la faja </t>
  </si>
  <si>
    <t>Cable electrico sin señalización</t>
  </si>
  <si>
    <t>Obra civil</t>
  </si>
  <si>
    <t>Electrocución
Caida a mismo nivel</t>
  </si>
  <si>
    <t>Se solicita que se ponga cinta de peligro en los cables para que se identifique</t>
  </si>
  <si>
    <t xml:space="preserve">área de soldadura sin señaletica </t>
  </si>
  <si>
    <t>Se solicita que coloquen la señaletica correspondiente</t>
  </si>
  <si>
    <t>Electrodo en mal estado en obra cilvil 
(WSR)</t>
  </si>
  <si>
    <t>Quemaduras
Electrocución</t>
  </si>
  <si>
    <t xml:space="preserve">Se solicita el cambio de electrodo de manera urgente </t>
  </si>
  <si>
    <t>Sin arnes, y andamios sin asegurar</t>
  </si>
  <si>
    <t xml:space="preserve">caida a distinto nivel </t>
  </si>
  <si>
    <t xml:space="preserve">Se solicita un llamado de atención escrita </t>
  </si>
  <si>
    <t>Colaborador Patricio Carrera dice que estaba operando el montacargas. Él no es operador</t>
  </si>
  <si>
    <t>Atropellamiento 
golpes</t>
  </si>
  <si>
    <t xml:space="preserve">Se solicita un llamado de atención firmado por el colaborador favor y enviado por correo a DIMAC en copia a SYSO </t>
  </si>
  <si>
    <t xml:space="preserve">Cable de maquina de soldar en malas condiciones </t>
  </si>
  <si>
    <t xml:space="preserve">Orlando Caiza </t>
  </si>
  <si>
    <t xml:space="preserve">Se solicita la repación o cambio del cable </t>
  </si>
  <si>
    <t xml:space="preserve">Personal de DIMAC ocupa el telefono celular mientras se encuentran haciendo trabajos en altura 
Acción insegura Temeraria </t>
  </si>
  <si>
    <t xml:space="preserve">Cable electrico expuesto </t>
  </si>
  <si>
    <t xml:space="preserve">Reparación del cable </t>
  </si>
  <si>
    <t xml:space="preserve">Carretilla sin amarrar a los andamios </t>
  </si>
  <si>
    <t>Caida de material
Golpes</t>
  </si>
  <si>
    <t xml:space="preserve">Se solicita amarrar la carretilla </t>
  </si>
  <si>
    <t xml:space="preserve">Colaboradores de WSR haciendo trabajos en alturas con las herramientas sin asegurar </t>
  </si>
  <si>
    <t>Golpe</t>
  </si>
  <si>
    <t xml:space="preserve">WSR </t>
  </si>
  <si>
    <t>llamado de atención al personal y se solicita que se amarre las herramientas 
(Brayan Yumbo
Josue Troya
Danny Guamanarca
Jordan Troya
Mayra Chicaiza)</t>
  </si>
  <si>
    <t>personal WSR sube por la parte externa del andamios</t>
  </si>
  <si>
    <t>Retroalimentación al personal sobre el buen uso de andamios y trabajos en alturas</t>
  </si>
  <si>
    <t>Cables expuestos en toima corriente</t>
  </si>
  <si>
    <t>electrocución</t>
  </si>
  <si>
    <t>Se solicita el arreglo de y cubrir los cables expuestos</t>
  </si>
  <si>
    <t xml:space="preserve">toma corrientes sin uso y al descubierto </t>
  </si>
  <si>
    <t xml:space="preserve">se solicita que se tapen estos toma corriente </t>
  </si>
  <si>
    <t>quemaduras 
electrocución</t>
  </si>
  <si>
    <t>Se solicita el cambio de portamaza</t>
  </si>
  <si>
    <t>falta de delimitación de esta zona de caída</t>
  </si>
  <si>
    <t>se solicita la delimitación de manera correcta</t>
  </si>
  <si>
    <t>falta de orden y limpieza en cubero</t>
  </si>
  <si>
    <t xml:space="preserve">caida al mismo nivel </t>
  </si>
  <si>
    <t>se solicita orden y limpieza</t>
  </si>
  <si>
    <t xml:space="preserve">extención en mal estado </t>
  </si>
  <si>
    <t xml:space="preserve">Se solicita que se repare la extensión </t>
  </si>
  <si>
    <t>Personal de Cuatro paredes sin guantes</t>
  </si>
  <si>
    <t>Amplición del edificio administrativo</t>
  </si>
  <si>
    <t xml:space="preserve">Corte </t>
  </si>
  <si>
    <t>4 Paredes</t>
  </si>
  <si>
    <t xml:space="preserve">Se solicita al supervisor dar Guantes al personal </t>
  </si>
  <si>
    <t xml:space="preserve">Personal operativo de WSR  haciendo trabajos en caliente sin el uso de guantes de protección </t>
  </si>
  <si>
    <t>Proyección de particulas - quemaduras</t>
  </si>
  <si>
    <t xml:space="preserve">WSR 
</t>
  </si>
  <si>
    <t xml:space="preserve">Se les hace colocar los guantes al personal operativo </t>
  </si>
  <si>
    <t xml:space="preserve">canecas sin colocar en lugar indicado </t>
  </si>
  <si>
    <t xml:space="preserve">Intoxicación - Derrame de material quimico </t>
  </si>
  <si>
    <t xml:space="preserve">Se solicita colocar en un cubeto las canecas </t>
  </si>
  <si>
    <t xml:space="preserve">Área de trabajo en altura sin delimitación </t>
  </si>
  <si>
    <t xml:space="preserve">Caida de herramientas 
Proyección de particulas </t>
  </si>
  <si>
    <t xml:space="preserve">Se solicita delimitar la zona de trabajos de manera urgente </t>
  </si>
  <si>
    <t xml:space="preserve">bobina obstaculizando el paso peatonal </t>
  </si>
  <si>
    <t>Aplastamiento</t>
  </si>
  <si>
    <t>Retirar la bobina de manera urgente</t>
  </si>
  <si>
    <t>Los frenos de la prensa 400 no responden de manera adecua</t>
  </si>
  <si>
    <t xml:space="preserve">corte </t>
  </si>
  <si>
    <t xml:space="preserve">Se Para producción de la maquina hasta que se repare </t>
  </si>
  <si>
    <t xml:space="preserve">Personal operativo de DIMAC caminando entre alturas sin anclarse a la linea de vida </t>
  </si>
  <si>
    <t xml:space="preserve">Nueva Nave </t>
  </si>
  <si>
    <t xml:space="preserve">DIMAC </t>
  </si>
  <si>
    <t xml:space="preserve">Se solicita al tecnico de seguridad de DIMAC que los trabajadores se anclen </t>
  </si>
  <si>
    <t xml:space="preserve">Extensión de voltaje alto modificada 
(prohibido modificar ) </t>
  </si>
  <si>
    <t xml:space="preserve">Se solicita el retiro del la extensión de manera urgente </t>
  </si>
  <si>
    <t>Tablones arriamados en andamios</t>
  </si>
  <si>
    <t xml:space="preserve">Trabajos a lado de la linea de galvanizado </t>
  </si>
  <si>
    <t xml:space="preserve">ciada de material
golpes </t>
  </si>
  <si>
    <t xml:space="preserve">Se solicita retirar los tablones </t>
  </si>
  <si>
    <t xml:space="preserve">Material obstaculizando el paso </t>
  </si>
  <si>
    <t xml:space="preserve">Caida a mismo nivel </t>
  </si>
  <si>
    <t>Brian sarsoza</t>
  </si>
  <si>
    <t>Retirar el material</t>
  </si>
  <si>
    <t>caja de brearkers abierta</t>
  </si>
  <si>
    <t>Edison Lema</t>
  </si>
  <si>
    <t xml:space="preserve">Se solicita cerrar la caja </t>
  </si>
  <si>
    <t xml:space="preserve">caja electrica abierta en paneles </t>
  </si>
  <si>
    <t>Se píde que se cierre lacaja electrica</t>
  </si>
  <si>
    <t xml:space="preserve">Personal del contratista Orlando Caiza trabaja sin uniforme dotado </t>
  </si>
  <si>
    <t>cortes
Proyeccion de particulas</t>
  </si>
  <si>
    <t>Se solicita al contratista que se dote del uniforme correspondiente al trabajador de manera urgente</t>
  </si>
  <si>
    <t>Izaje de manera insegura de material por parte del personal de SIMETRIKA</t>
  </si>
  <si>
    <t>ciada de material
Aplastamiento
Golpes</t>
  </si>
  <si>
    <t>Proveedores</t>
  </si>
  <si>
    <t>Simetrika</t>
  </si>
  <si>
    <t xml:space="preserve">Se solicita al encargado dar una charla sobre izaje seguro de material </t>
  </si>
  <si>
    <t>Faja rota en prensa 1000</t>
  </si>
  <si>
    <t>corte y conformado</t>
  </si>
  <si>
    <t xml:space="preserve">caida de material 
Aplastamiento </t>
  </si>
  <si>
    <t xml:space="preserve">Pablo Velasco </t>
  </si>
  <si>
    <t xml:space="preserve">Cambio de faja de manera inmedita </t>
  </si>
  <si>
    <t>faja rota en prensa 175</t>
  </si>
  <si>
    <t xml:space="preserve">Canecas de pintura sin colocarse en el cubeto </t>
  </si>
  <si>
    <t>Se solicita al tecnico que se coloque en el cubeto las canecas</t>
  </si>
  <si>
    <t xml:space="preserve">Zona de trabajo en altura sin delimitar </t>
  </si>
  <si>
    <t>Se solicita que se delimite la zona de trabajo</t>
  </si>
  <si>
    <t>Escalera inadecuada para la excavación</t>
  </si>
  <si>
    <t xml:space="preserve">Se solicita que de adeque una escalera para lea excavación </t>
  </si>
  <si>
    <t xml:space="preserve">Excavación sin señaletica </t>
  </si>
  <si>
    <t>Se solicita  delimitar las excavaciones y colocar señalización de excavación o caídas a distinto nivel</t>
  </si>
  <si>
    <t xml:space="preserve">Toma corriente expuesto sin caja </t>
  </si>
  <si>
    <t xml:space="preserve">Cerca del caldero </t>
  </si>
  <si>
    <t>Se solicita colocar un cajetín en esta extensión de los trabajos que estan cerca del caldero</t>
  </si>
  <si>
    <t>Contenedor de chatarra en condiciones no adecuadas</t>
  </si>
  <si>
    <t>Reparación del contenedor</t>
  </si>
  <si>
    <t>Tanque de CO2 sin asegurar</t>
  </si>
  <si>
    <t>Cizalla Pacific</t>
  </si>
  <si>
    <t>Aseguramiento de tanque con cadenas</t>
  </si>
  <si>
    <t>Zona de trabajo sin delimitación</t>
  </si>
  <si>
    <t>Estilox - Nuevas Naves</t>
  </si>
  <si>
    <t>Caída de materiales</t>
  </si>
  <si>
    <t>Delimitación de zona de trabajo</t>
  </si>
  <si>
    <t>Mangueras sin acoples adecuados</t>
  </si>
  <si>
    <t>Tanques de CO2, mangueras de soldadura</t>
  </si>
  <si>
    <t>Fugas</t>
  </si>
  <si>
    <t>Colocación de acoples y cambio de mangueras</t>
  </si>
  <si>
    <t>Trabajos externos sin delimitación</t>
  </si>
  <si>
    <t>Caídas al mismo nivel</t>
  </si>
  <si>
    <t>Colocación de cinta de peligro</t>
  </si>
  <si>
    <t>Tablero eléctrico sin tapa</t>
  </si>
  <si>
    <t>Caidas al mismo nivel</t>
  </si>
  <si>
    <t>Colocar tapa de tablero</t>
  </si>
  <si>
    <t>Pulsador de emergencia desubicado</t>
  </si>
  <si>
    <t xml:space="preserve">Falla de pulsador </t>
  </si>
  <si>
    <t>Henrry Narvaez</t>
  </si>
  <si>
    <t>Reubicar el pulsador de emergencia</t>
  </si>
  <si>
    <t>Filos de chatarra expuesta</t>
  </si>
  <si>
    <t>Golpes, cortes</t>
  </si>
  <si>
    <t>Evacuación y retiro de chatarra</t>
  </si>
  <si>
    <t>Tablero eléctrico abierto</t>
  </si>
  <si>
    <t>Corte</t>
  </si>
  <si>
    <t>Descarga eléctrica</t>
  </si>
  <si>
    <t>Solicitud para el cierre del tablero</t>
  </si>
  <si>
    <t>Varillas sobre el paso peatonal</t>
  </si>
  <si>
    <t xml:space="preserve">Retiro de material </t>
  </si>
  <si>
    <t>Caídas a distinto nivel</t>
  </si>
  <si>
    <t>Material sobre el paso peatonal</t>
  </si>
  <si>
    <t>Paso peatonal</t>
  </si>
  <si>
    <t>Retiro y evacuación de material</t>
  </si>
  <si>
    <t>Dovela en posición peligrosa</t>
  </si>
  <si>
    <t>Aplastamientos, atrapamientos</t>
  </si>
  <si>
    <t>Reubicación horizontal de la dovela.</t>
  </si>
  <si>
    <t>Corimpex</t>
  </si>
  <si>
    <t>Cierre de acceso a la dovela.</t>
  </si>
  <si>
    <t>Seguro de tablero no funciona</t>
  </si>
  <si>
    <t>Estilox</t>
  </si>
  <si>
    <t>Reparación de seguro</t>
  </si>
  <si>
    <t>Químicos fuera del cubeto</t>
  </si>
  <si>
    <t>Derrame químico</t>
  </si>
  <si>
    <t>Colocación de químicos en cubeto</t>
  </si>
  <si>
    <t>Zona de caída sin delimitación</t>
  </si>
  <si>
    <t>Andamios sin delimitación de área</t>
  </si>
  <si>
    <t>Nuevas naves</t>
  </si>
  <si>
    <t>No utilizar traje adecuado para pintura</t>
  </si>
  <si>
    <t>Contaminación, intoxicación</t>
  </si>
  <si>
    <t>Dimac</t>
  </si>
  <si>
    <t>Entrega detraje adecuado</t>
  </si>
  <si>
    <t>No utilizar protección respiratoria</t>
  </si>
  <si>
    <t>Entrega de respirador</t>
  </si>
  <si>
    <t>Extensión en mal estado</t>
  </si>
  <si>
    <t>Canchas</t>
  </si>
  <si>
    <t>Colocar recubrimiento</t>
  </si>
  <si>
    <t>Camara de transformación</t>
  </si>
  <si>
    <t>Caida de materiales</t>
  </si>
  <si>
    <t>Toma sin tapa</t>
  </si>
  <si>
    <t>Colocación de tapa</t>
  </si>
  <si>
    <t>Edificio administrativo</t>
  </si>
  <si>
    <t>Andamios sin asegurar</t>
  </si>
  <si>
    <t>Desplome de andamio</t>
  </si>
  <si>
    <t>Aseguramiento de andamios</t>
  </si>
  <si>
    <t>Taller de mantenimiento</t>
  </si>
  <si>
    <t>Colocación de cabos y cinta de peligro</t>
  </si>
  <si>
    <t>No asegurar los andamios</t>
  </si>
  <si>
    <t>Operar puentes sin autorización</t>
  </si>
  <si>
    <t>caida de materiales</t>
  </si>
  <si>
    <t>SIMETRIKA</t>
  </si>
  <si>
    <t xml:space="preserve">Detención de actividades </t>
  </si>
  <si>
    <t>Uso de qímicos sin identificación</t>
  </si>
  <si>
    <t>No usa gafas en área de producción</t>
  </si>
  <si>
    <t>Lesiones oculares</t>
  </si>
  <si>
    <t>Zanja sin delimitación</t>
  </si>
  <si>
    <t>caída de materiales</t>
  </si>
  <si>
    <t>Tanques sin asegurar</t>
  </si>
  <si>
    <t>Aplastamientos</t>
  </si>
  <si>
    <t>Aseguramiento de cilindros</t>
  </si>
  <si>
    <t>Químicos sin identificación</t>
  </si>
  <si>
    <t>Etiquetar la sustancia</t>
  </si>
  <si>
    <t>No usar EPP, William Fernandez</t>
  </si>
  <si>
    <t>Alisadora</t>
  </si>
  <si>
    <t xml:space="preserve">llamado de atención </t>
  </si>
  <si>
    <t>No usar EPP, Franklin Toapanta</t>
  </si>
  <si>
    <t>No usar EPP, Danilo Caiza</t>
  </si>
  <si>
    <t>No usar EPP, Jhonatan Loor</t>
  </si>
  <si>
    <t>No usar EPP, Jefferson Barrionuevo</t>
  </si>
  <si>
    <t>Direccionar cargas suspendidas con las manos</t>
  </si>
  <si>
    <t>Luis Pilco</t>
  </si>
  <si>
    <t>Entrega de vientos para cargas</t>
  </si>
  <si>
    <t>No existe MSDS de la resina, diluyente y pinturas</t>
  </si>
  <si>
    <t>Uso incorrecto de sustancias químicas</t>
  </si>
  <si>
    <t>Realizar la entrega de las MSDS</t>
  </si>
  <si>
    <t>No hay rombo NFPA del agua destilada</t>
  </si>
  <si>
    <t>Colocar el rombo en el agua destilada</t>
  </si>
  <si>
    <t>Instrucciones del pedal dobladora en idioma inglés</t>
  </si>
  <si>
    <t>Uso incorrecto de la máquina</t>
  </si>
  <si>
    <t>Colocar las instrucciones del pedal en español</t>
  </si>
  <si>
    <t>Revisión de guardas de seguridad Dobladora y Curvadora</t>
  </si>
  <si>
    <t>Atrapamientos cortes</t>
  </si>
  <si>
    <t>Instalación de guardas.</t>
  </si>
  <si>
    <t xml:space="preserve">Paso peatonal no se identifica </t>
  </si>
  <si>
    <t>Corte y Conformado</t>
  </si>
  <si>
    <t>Mantenimiento de pasos peatonales</t>
  </si>
  <si>
    <t>Tablero eléctrico no esta cerrado correctamente de Alisadora</t>
  </si>
  <si>
    <t>Descarga electrica</t>
  </si>
  <si>
    <t>Cerrar el tablero de la alisadora</t>
  </si>
  <si>
    <t>Pasos peatonales obstaculizados</t>
  </si>
  <si>
    <t>Despejar los pasos peatonales</t>
  </si>
  <si>
    <t xml:space="preserve">Piso a diferente nivel y varillas salidas </t>
  </si>
  <si>
    <t>Nivelación de la superficie</t>
  </si>
  <si>
    <t>Piso a diferente nivel</t>
  </si>
  <si>
    <t>Cadena de izaje oxidada</t>
  </si>
  <si>
    <t>Rotura de cadenas</t>
  </si>
  <si>
    <t>cambio de cadena o dar de baja la cadena</t>
  </si>
  <si>
    <t>Pison en desnivel con grietas</t>
  </si>
  <si>
    <t>Elementos de izaje no adecuados ptar</t>
  </si>
  <si>
    <t>Adecuar  el equipo de izaje</t>
  </si>
  <si>
    <t>Canaleta levantada en paso peatonal</t>
  </si>
  <si>
    <t>Corregir el nivel de la canaleta</t>
  </si>
  <si>
    <t>Paso peatonal de las cubas de galvanizado no restringe el acceso al personal externo del área</t>
  </si>
  <si>
    <t>Intoxicación</t>
  </si>
  <si>
    <t>viales</t>
  </si>
  <si>
    <t>Direccionar el paso peatonal rodeando la nave de galvanizado</t>
  </si>
  <si>
    <t>Acceso bloqueado en salida de oficina de calidad/Paneles</t>
  </si>
  <si>
    <t>Calidad</t>
  </si>
  <si>
    <t>Carlos Cañizares</t>
  </si>
  <si>
    <t>Redistribuir el acceso a la oficina.</t>
  </si>
  <si>
    <t>Alfajías no adecuadas para montacargas de 25 T</t>
  </si>
  <si>
    <t>Producción</t>
  </si>
  <si>
    <t>Caída de material</t>
  </si>
  <si>
    <t>Pablo Arias</t>
  </si>
  <si>
    <t>Gestionar la compra de alfajías adecuadas para las uñas del montacargas.</t>
  </si>
  <si>
    <t>TECOI</t>
  </si>
  <si>
    <t>Desplome de carga</t>
  </si>
  <si>
    <t>Paso peatonal obstaculizado</t>
  </si>
  <si>
    <t>Despejar pasos peatonales</t>
  </si>
  <si>
    <t>Toma sin señalizar el voltaje</t>
  </si>
  <si>
    <t>Descarga eléctrica.</t>
  </si>
  <si>
    <t>Edison lema</t>
  </si>
  <si>
    <t>Etiquetar el toma corriente</t>
  </si>
  <si>
    <t>Señaletica mal especificada</t>
  </si>
  <si>
    <t>No conformidad en auditoria.</t>
  </si>
  <si>
    <t>Retiro o reemplazo de señalética,</t>
  </si>
  <si>
    <t>Lampara de emergencia no enciende</t>
  </si>
  <si>
    <t>Falla durante emergencia</t>
  </si>
  <si>
    <t>Reparación de señalética</t>
  </si>
  <si>
    <t>Asegurar los tanques</t>
  </si>
  <si>
    <t>Reparación de la puerta del tablero.</t>
  </si>
  <si>
    <t>Paro de emergencia mal ubicado</t>
  </si>
  <si>
    <t>Prensa 175</t>
  </si>
  <si>
    <t>mala operación del paro de emergencia</t>
  </si>
  <si>
    <t>Reubicación del paro de emergencia</t>
  </si>
  <si>
    <t>Cadena no adecuada para izaje de bobinas</t>
  </si>
  <si>
    <t>Roll Former</t>
  </si>
  <si>
    <t xml:space="preserve">Cambio de cadena </t>
  </si>
  <si>
    <t>Suelda de viales</t>
  </si>
  <si>
    <t>Cambio de extensión</t>
  </si>
  <si>
    <t>Cadenas sin guardas</t>
  </si>
  <si>
    <t>Cizallas</t>
  </si>
  <si>
    <t>Atrapamiento de manos</t>
  </si>
  <si>
    <t>Instalación de guardas</t>
  </si>
  <si>
    <t>Empates</t>
  </si>
  <si>
    <t>etiquetar el toma corriente</t>
  </si>
  <si>
    <t>Peligro y riesgo no advertido</t>
  </si>
  <si>
    <t>Delimitación de dovelas</t>
  </si>
  <si>
    <t>Gabinete de incendios sin vidrio</t>
  </si>
  <si>
    <t>Daño de equipos contra incendios</t>
  </si>
  <si>
    <t>Colocación de vidrio.</t>
  </si>
  <si>
    <t>Tapa de canaleta levantada</t>
  </si>
  <si>
    <t>Corregir la posición de la tapa</t>
  </si>
  <si>
    <t xml:space="preserve">Pedales de operación en inglés </t>
  </si>
  <si>
    <t>Dobladora</t>
  </si>
  <si>
    <t>Operación inadecuada</t>
  </si>
  <si>
    <t xml:space="preserve">Etiquetar en español los pedales </t>
  </si>
  <si>
    <t>Obstaculización de gabinete contra incendios</t>
  </si>
  <si>
    <t>Retiro de obstáculos y evacuación de desechos.</t>
  </si>
  <si>
    <t>Zona de trabajo no delimitada</t>
  </si>
  <si>
    <t>Delimitar la zona de trabajo</t>
  </si>
  <si>
    <t>Rejilla levantada</t>
  </si>
  <si>
    <t>Reparación de ángulo para la colocación de la rejilla.</t>
  </si>
  <si>
    <t>Ubicación inadecuado de equipo de oxicorte</t>
  </si>
  <si>
    <t>Incendios, explosiones</t>
  </si>
  <si>
    <t>Reubicación del equipo de oxicorte</t>
  </si>
  <si>
    <t>Bobinas sin zunchos llegan desde el proveedor</t>
  </si>
  <si>
    <t>Golpes en manos</t>
  </si>
  <si>
    <t>Darlin Suarez</t>
  </si>
  <si>
    <t>Contactar al proveedor para verificar el aseguramiento de zunchos en bobinas</t>
  </si>
  <si>
    <t>Se desconoce la gestión y manejo de bobinas que llegan sin zunchos a planta</t>
  </si>
  <si>
    <t>Validar el procedimiento adecuado para gestionar el manejo de las bobinas sin zunchos en planta</t>
  </si>
  <si>
    <t>Uso de base no adecuada para disco Cubitron</t>
  </si>
  <si>
    <t>Analizar y gestionar la compra de la base adecuada para el disco CUBITRÓN</t>
  </si>
  <si>
    <t>Uso inadecuado de discos cubitron</t>
  </si>
  <si>
    <t>Gestionar capacitación sobre uso adecuado y seguro de discos y amoladoras con el proveedor.</t>
  </si>
  <si>
    <t>Llegan bobinas sin zunchos desde los proveedores</t>
  </si>
  <si>
    <t>Revisión del correcto proceso de recepción de bobinas sin zunchos</t>
  </si>
  <si>
    <t>Fuga sistema hidráulico AR5</t>
  </si>
  <si>
    <t>AR 5</t>
  </si>
  <si>
    <t>Reparación de fuga en sistema hidráulico</t>
  </si>
  <si>
    <t>Zona de gabinete no esta delimitado DRT PLUS</t>
  </si>
  <si>
    <t>DRT PLUS</t>
  </si>
  <si>
    <t>Obstaculización del gabinete de emergencia</t>
  </si>
  <si>
    <t>Delimitar en piso la señalética  del gabinete externo de la DRT</t>
  </si>
  <si>
    <t>Extintor obstaculizado</t>
  </si>
  <si>
    <t>Respuesta ineficiente ante emergencias</t>
  </si>
  <si>
    <t>Despejar el espacio o reubicar los extintores obstaculizados.</t>
  </si>
  <si>
    <t>uso de herramientas hechizas</t>
  </si>
  <si>
    <t>Gestionar la entrega de combos adecuados.</t>
  </si>
  <si>
    <t>Cables sueltos</t>
  </si>
  <si>
    <t>Organizar cables y colocar canaletas</t>
  </si>
  <si>
    <t>Piso en mal estado</t>
  </si>
  <si>
    <t>Gestionar la reparación del suelo</t>
  </si>
  <si>
    <t>Mangueras del sistema hidráulico sueltas.</t>
  </si>
  <si>
    <t>Contenedor de chatarra en mal estado</t>
  </si>
  <si>
    <t>Desplome de chatarra</t>
  </si>
  <si>
    <t>Gestionar la reparación del contenedor de chatarra</t>
  </si>
  <si>
    <t>Tapa de tablero deformada</t>
  </si>
  <si>
    <t>Reparación de tapa del tablero</t>
  </si>
  <si>
    <t>Acumulación de granalla</t>
  </si>
  <si>
    <t>Desalojo de granalla</t>
  </si>
  <si>
    <t>Rejillas levantadas</t>
  </si>
  <si>
    <t>Ingreso a Galvanizado</t>
  </si>
  <si>
    <t>Reparación de ángulos</t>
  </si>
  <si>
    <t>Mangueras de suelda con acoples no adecuados</t>
  </si>
  <si>
    <t>Tecoi</t>
  </si>
  <si>
    <t>Cambio de magueras</t>
  </si>
  <si>
    <t>Tanque de CO2</t>
  </si>
  <si>
    <t>Fosa sin delimitación</t>
  </si>
  <si>
    <t>Delimitar la zona de caida</t>
  </si>
  <si>
    <t>Cabina de pintura</t>
  </si>
  <si>
    <t>Conatos</t>
  </si>
  <si>
    <t>Coche de suleda  inestable en rueda</t>
  </si>
  <si>
    <t>cambio de ruedas</t>
  </si>
  <si>
    <t>Julio</t>
  </si>
  <si>
    <t>Cuchilla expuesta</t>
  </si>
  <si>
    <t>Cierra circular de madera</t>
  </si>
  <si>
    <t>cortes</t>
  </si>
  <si>
    <t>Colocación de guarda</t>
  </si>
  <si>
    <t>Cadenas en mal estado</t>
  </si>
  <si>
    <t>Dar de baja la cadena</t>
  </si>
  <si>
    <t>Estabilizador sin zapata</t>
  </si>
  <si>
    <t>Elvador tipo tijera</t>
  </si>
  <si>
    <t>Sebastián Balseca</t>
  </si>
  <si>
    <t>Colocación de zapata</t>
  </si>
  <si>
    <t>Pasos peatonales tapados</t>
  </si>
  <si>
    <t>brian Sarzosa</t>
  </si>
  <si>
    <t xml:space="preserve">Evacuación </t>
  </si>
  <si>
    <t>Químicos sin cubeto</t>
  </si>
  <si>
    <t>Derrames</t>
  </si>
  <si>
    <t>Almacenamiento adecuado de qupimicos</t>
  </si>
  <si>
    <t>Extensión sin recubrimiento</t>
  </si>
  <si>
    <t>Obra</t>
  </si>
  <si>
    <t>Colocaicónd e aislante, cambio de extensión</t>
  </si>
  <si>
    <t>Espacio inadecuado para trabajos de soldadura</t>
  </si>
  <si>
    <t>Granalla</t>
  </si>
  <si>
    <t>Choques, atropellos, aplastamientos</t>
  </si>
  <si>
    <t>Delimitación de zona de trabajo, plan de tráfico</t>
  </si>
  <si>
    <t>Mangueras en mal estado equipo de plasma</t>
  </si>
  <si>
    <t>Mario Guamán</t>
  </si>
  <si>
    <t>Cambio de acoples y mangueras</t>
  </si>
  <si>
    <t>Fajas en mal  estado</t>
  </si>
  <si>
    <t>Rotura de fajas y desplome de carga</t>
  </si>
  <si>
    <t>Cambio de fajas</t>
  </si>
  <si>
    <t>Cuarto eléctrico obra</t>
  </si>
  <si>
    <t>Retiro de extensión</t>
  </si>
  <si>
    <t>Zunchos expuestos al paso peatonal</t>
  </si>
  <si>
    <t>Golpes y cortes</t>
  </si>
  <si>
    <t>Retiro de zuncho</t>
  </si>
  <si>
    <t>Cable de acero PT grúa roto</t>
  </si>
  <si>
    <t>Cambio de cable</t>
  </si>
  <si>
    <t>Puerta desubicada</t>
  </si>
  <si>
    <t>Jesus Aucatoma</t>
  </si>
  <si>
    <t>Reparación de soportes</t>
  </si>
  <si>
    <t>Puente sin etiqueta de capacidad</t>
  </si>
  <si>
    <t>Uso inadecuado de equipos</t>
  </si>
  <si>
    <t>Colocación de capacidad</t>
  </si>
  <si>
    <t>Telemando de puente 5T falla al momento de bajar</t>
  </si>
  <si>
    <t>Reparación del control</t>
  </si>
  <si>
    <t xml:space="preserve">Lubricación manual de cuchillas </t>
  </si>
  <si>
    <t>Cortes, amputaciones</t>
  </si>
  <si>
    <t>Automatizar el proceso de lubricación</t>
  </si>
  <si>
    <t>Guardas no cubren todos los rodillos</t>
  </si>
  <si>
    <t>Extender la cobertura de las guardas</t>
  </si>
  <si>
    <t>Puente grúa no permite movimiento continuo por la riel</t>
  </si>
  <si>
    <t>JULIO</t>
  </si>
  <si>
    <t>Cambiode fajas</t>
  </si>
  <si>
    <t xml:space="preserve">Ruido no controlado </t>
  </si>
  <si>
    <t>Afectación de sistema auditivo</t>
  </si>
  <si>
    <t>Se controlo el ruido</t>
  </si>
  <si>
    <t>Botonera en otro idioma Estilox Plus</t>
  </si>
  <si>
    <t>Estilox Plus</t>
  </si>
  <si>
    <t>Operación incorrecta de maquinaria</t>
  </si>
  <si>
    <t>Etiquetar la botonera en español</t>
  </si>
  <si>
    <t>Pasos peatonales no definidos</t>
  </si>
  <si>
    <t>Delimitar los pasos peatonales</t>
  </si>
  <si>
    <t>Acceso no lmitado en semipórtico</t>
  </si>
  <si>
    <t>Colocar tapa</t>
  </si>
  <si>
    <t>Velocidad del punte grúa elevada</t>
  </si>
  <si>
    <t>Instalación de variador</t>
  </si>
  <si>
    <t>Rodillos de corimpex expuestos</t>
  </si>
  <si>
    <t>Golpes, apalstamientos</t>
  </si>
  <si>
    <t>Sebastián Ojeda</t>
  </si>
  <si>
    <t>Tapas de canaletas levantadas</t>
  </si>
  <si>
    <t>Colocación fija de tapas</t>
  </si>
  <si>
    <t>Bobinas mal ubicadas</t>
  </si>
  <si>
    <t>Ubicación adecuada de bobinas</t>
  </si>
  <si>
    <t>Acción Inseegura</t>
  </si>
  <si>
    <t>19/6/2026 Emilio Guanolema Trabajo sobre plataformas sin barbiquejo</t>
  </si>
  <si>
    <t>Lamado de atención paro de actividad</t>
  </si>
  <si>
    <t>Alarmas del sistema de emergencia no se escuha</t>
  </si>
  <si>
    <t>Respuesta de emergencias tardía</t>
  </si>
  <si>
    <t>Revisión del sistema de alarma</t>
  </si>
  <si>
    <t>Pulsador de alarma no se activan, en mal estado</t>
  </si>
  <si>
    <t>Reparación del pulsador</t>
  </si>
  <si>
    <t>julio</t>
  </si>
  <si>
    <t>Mesa de dobladora con ranuras que producen atascamientos</t>
  </si>
  <si>
    <t xml:space="preserve">Colocación de tapas en mesa </t>
  </si>
  <si>
    <t>No existe herramienta para desmontar rodillos de corimpex</t>
  </si>
  <si>
    <t>Corimpex roja</t>
  </si>
  <si>
    <t>Fabriación de herramienta para la sujeción del rodillo</t>
  </si>
  <si>
    <t>23/6/2026 Pablo Aguayo se coloca en línea de fuego sufriendo aplastamiento de pie</t>
  </si>
  <si>
    <t>LLamado de atención</t>
  </si>
  <si>
    <t>No existe sensores en máquinas para evitar apertura de guardas</t>
  </si>
  <si>
    <t xml:space="preserve">Paneles
</t>
  </si>
  <si>
    <t>Daniel Espinoza
Kevin Santillan</t>
  </si>
  <si>
    <t>Colocación de sensores</t>
  </si>
  <si>
    <t xml:space="preserve">No existe etiquetado en el pedal de la cizalla
Troptreck </t>
  </si>
  <si>
    <t>Corte y
 Conformado</t>
  </si>
  <si>
    <t>Corte &amp; 
Conformado</t>
  </si>
  <si>
    <t>Colocación de etiquetas 
en el pedal</t>
  </si>
  <si>
    <t>Escalera presenta soldadura
 desgastada</t>
  </si>
  <si>
    <t>Viales
Mantenimiento</t>
  </si>
  <si>
    <t>Revisión de la soldadura de
 la escalera</t>
  </si>
  <si>
    <t xml:space="preserve">Apilamiento excesivo 
de planchas </t>
  </si>
  <si>
    <t>Atrapamientos y caídas</t>
  </si>
  <si>
    <t>No apilar excesivamente</t>
  </si>
  <si>
    <t xml:space="preserve">Apilamiento excesivo 
de material  </t>
  </si>
  <si>
    <t>Atrapamientos y caídas de 
material</t>
  </si>
  <si>
    <t>Gancho en mal estado del 
puente PTAR</t>
  </si>
  <si>
    <t>Revisión cambio de gancho</t>
  </si>
  <si>
    <t>Portico de la PTAR sin especificaciones técnicas</t>
  </si>
  <si>
    <t>Levantamiento de planos y memoria de cálculo</t>
  </si>
  <si>
    <t>Extensiones en mal estado soldadura</t>
  </si>
  <si>
    <t>Contacto eléctrico</t>
  </si>
  <si>
    <t>Ingreso a nave principal del soldadura obstaculizado</t>
  </si>
  <si>
    <t>Definir Lay Out para los pasos peatonales</t>
  </si>
  <si>
    <t>Salida de emergencia obstaculizada</t>
  </si>
  <si>
    <t>Despejar la salida de emergencia</t>
  </si>
  <si>
    <t>Mandos sin etiquetar en maquinaria</t>
  </si>
  <si>
    <t>Etiquetar mandos</t>
  </si>
  <si>
    <t>Químico sin etiquetado</t>
  </si>
  <si>
    <t>Compras producción</t>
  </si>
  <si>
    <t>Incumplimiento al procedimiento</t>
  </si>
  <si>
    <t>Compras</t>
  </si>
  <si>
    <t>Alvaro Tapia</t>
  </si>
  <si>
    <t>Etiquetar con sistema HMIS</t>
  </si>
  <si>
    <t>Cable sin canaleta en el comedor</t>
  </si>
  <si>
    <t>Comedor</t>
  </si>
  <si>
    <t>Mantenimiento Eléctrico</t>
  </si>
  <si>
    <t>Colocar la canaleta en el cable</t>
  </si>
  <si>
    <t>bobina en el paso</t>
  </si>
  <si>
    <t xml:space="preserve">se recomienda retirar del paso </t>
  </si>
  <si>
    <t xml:space="preserve">Filtro de respirador en mal estado </t>
  </si>
  <si>
    <t xml:space="preserve">se solicita cambiar los filtros </t>
  </si>
  <si>
    <t xml:space="preserve">Faja mal estado </t>
  </si>
  <si>
    <t>1800030607 Prensa 400</t>
  </si>
  <si>
    <t xml:space="preserve">Aplastamientos </t>
  </si>
  <si>
    <t xml:space="preserve">Cambio de fajas </t>
  </si>
  <si>
    <t xml:space="preserve">Camilla de emergencia obstáculizada </t>
  </si>
  <si>
    <t xml:space="preserve">golpes, caidas </t>
  </si>
  <si>
    <t xml:space="preserve">Cajetines sin tapas </t>
  </si>
  <si>
    <t xml:space="preserve">riesgo electrico, manipulacion inadecuada </t>
  </si>
  <si>
    <t xml:space="preserve">Colocar tapas de cajetines </t>
  </si>
  <si>
    <t xml:space="preserve">Paso bloqueado </t>
  </si>
  <si>
    <t>golpes, cortes, caidas al mismo nivel</t>
  </si>
  <si>
    <t>Despejar la paso peatonal</t>
  </si>
  <si>
    <t>Tablero electrico abierto</t>
  </si>
  <si>
    <t>Taller de Mantenimiento Electrico</t>
  </si>
  <si>
    <t xml:space="preserve">cerrar el tablero </t>
  </si>
  <si>
    <t>Uso inadecuado del punto de seguridad</t>
  </si>
  <si>
    <t xml:space="preserve">Llamado de atencion </t>
  </si>
  <si>
    <t xml:space="preserve">Colocar los elementos que corresponden al punto de seguridad </t>
  </si>
  <si>
    <t xml:space="preserve">Gabinete sin llave </t>
  </si>
  <si>
    <t xml:space="preserve">auso inadecuado de elementos de emergencia </t>
  </si>
  <si>
    <t xml:space="preserve">Reponer la llave </t>
  </si>
  <si>
    <t xml:space="preserve">Paso de vehiculos  en zonas de trabajos </t>
  </si>
  <si>
    <t xml:space="preserve">prohibir el paso de vehiculos </t>
  </si>
  <si>
    <t>Tapa de extintor rota</t>
  </si>
  <si>
    <t>Reparacion de vidrio</t>
  </si>
  <si>
    <t xml:space="preserve">Caballete deformado </t>
  </si>
  <si>
    <t xml:space="preserve">aplastamientos, mala posturas </t>
  </si>
  <si>
    <t xml:space="preserve">correccion y certificacion </t>
  </si>
  <si>
    <t xml:space="preserve">personal sobre material apilado </t>
  </si>
  <si>
    <t xml:space="preserve">no subirse sobre material apilado </t>
  </si>
  <si>
    <t xml:space="preserve">material aplilado </t>
  </si>
  <si>
    <t xml:space="preserve">tomas sin etiquetas de voltaje </t>
  </si>
  <si>
    <t>Etiquetar tomas</t>
  </si>
  <si>
    <t xml:space="preserve">Etiquetas de tablero en otro idioma </t>
  </si>
  <si>
    <t xml:space="preserve">manipulación inadecuada </t>
  </si>
  <si>
    <t xml:space="preserve">cambiar idioma de etiquetas </t>
  </si>
  <si>
    <t xml:space="preserve">cableado en mal estado y desordenados </t>
  </si>
  <si>
    <t>riesgo electrico, manipulacion inadecuada, caidas almismo nivel</t>
  </si>
  <si>
    <t xml:space="preserve">orden y limpieza </t>
  </si>
  <si>
    <t xml:space="preserve">botonera slitter sin etiqueta </t>
  </si>
  <si>
    <t xml:space="preserve">botonera en comprimex  sliter sin etiqueta </t>
  </si>
  <si>
    <t xml:space="preserve">botonera sliter sin etiqueta </t>
  </si>
  <si>
    <t>Extensiones en mal estado</t>
  </si>
  <si>
    <t>Cambio de extención / Orden y limpieza</t>
  </si>
  <si>
    <t xml:space="preserve">Roll former sin etiquetas </t>
  </si>
  <si>
    <t>1800030603 Roll Former</t>
  </si>
  <si>
    <t xml:space="preserve">Mal uso de los elementos </t>
  </si>
  <si>
    <t xml:space="preserve">Cambiar y desechar fajas dañadas  </t>
  </si>
  <si>
    <t xml:space="preserve">Tambor en mal estado </t>
  </si>
  <si>
    <t xml:space="preserve">Tomas sin etiquetas de voltaje </t>
  </si>
  <si>
    <t>1800030404 Corimpex</t>
  </si>
  <si>
    <t xml:space="preserve">Manipulación inadecuada </t>
  </si>
  <si>
    <t xml:space="preserve">Tomas sin etiqueras de voltaje </t>
  </si>
  <si>
    <t xml:space="preserve">Canaletas en mal estado </t>
  </si>
  <si>
    <t xml:space="preserve">Cambio de canaletas </t>
  </si>
  <si>
    <t>Etiquetas de mandos degastados</t>
  </si>
  <si>
    <t>1800030204 Alisadora</t>
  </si>
  <si>
    <t xml:space="preserve">Cambio de etiquetas </t>
  </si>
  <si>
    <t>1800030402 Pintura</t>
  </si>
  <si>
    <t xml:space="preserve">Aplastamientos, caidas a distintos nivel, mal uso de elementos </t>
  </si>
  <si>
    <t>No se solicita PTE para espacios confinados</t>
  </si>
  <si>
    <t>Accidentes por gestión inadecuada de permisos</t>
  </si>
  <si>
    <t>Apertura de permiso de trabajo en espacio confinado</t>
  </si>
  <si>
    <t xml:space="preserve">Acceso restingido abierto </t>
  </si>
  <si>
    <t xml:space="preserve">Cerrar acceso </t>
  </si>
  <si>
    <t xml:space="preserve">Silla en mal estado </t>
  </si>
  <si>
    <t>Riesgo ergonomico, caidas al mismo nivel</t>
  </si>
  <si>
    <t xml:space="preserve">Cambiar la silla </t>
  </si>
  <si>
    <t>Unidad hidráulica de novalosa sobrecalentada</t>
  </si>
  <si>
    <t>Mantenimiento correctivo</t>
  </si>
  <si>
    <t>Chatarra sobre caballetes</t>
  </si>
  <si>
    <t>1800030203 Tecoi</t>
  </si>
  <si>
    <t xml:space="preserve">Orden y limpieza </t>
  </si>
  <si>
    <t xml:space="preserve">Puente grua sin etigueta de capacidad </t>
  </si>
  <si>
    <t xml:space="preserve">Colocar la capacidad permitida </t>
  </si>
  <si>
    <t xml:space="preserve">Tablero electrico abierto y sin etiquetas </t>
  </si>
  <si>
    <t>Manipulación inadecuada</t>
  </si>
  <si>
    <t xml:space="preserve">cerrar el tablero , colocar etiquetas </t>
  </si>
  <si>
    <t xml:space="preserve">Pestillo de puente grua 5T en mal estado </t>
  </si>
  <si>
    <t>Taller de Mantenimiento Mecánico</t>
  </si>
  <si>
    <t xml:space="preserve">Pestillo de puente grua 3.2 T en mal estado </t>
  </si>
  <si>
    <t xml:space="preserve">Chaveta sin perno de grillete </t>
  </si>
  <si>
    <t xml:space="preserve">Colocar perno </t>
  </si>
  <si>
    <t xml:space="preserve">Botones de mando del puente de 10 T y 3,2T sin etiquetas </t>
  </si>
  <si>
    <t xml:space="preserve">Area de trabajo sin delimitaciones </t>
  </si>
  <si>
    <t xml:space="preserve">Colocar conos durante las operaciones </t>
  </si>
  <si>
    <t xml:space="preserve">Manometro en el tanque de GLP dañado </t>
  </si>
  <si>
    <t>Bombona de GLP</t>
  </si>
  <si>
    <t>Falla en manómetros</t>
  </si>
  <si>
    <t>Cambio de manómetros</t>
  </si>
  <si>
    <t xml:space="preserve">riesgo a ruidos de granalla </t>
  </si>
  <si>
    <t>1800030401 Granallado</t>
  </si>
  <si>
    <t xml:space="preserve">riesgo fisico </t>
  </si>
  <si>
    <t>Medidas de prevención</t>
  </si>
  <si>
    <t xml:space="preserve">Perno suelto </t>
  </si>
  <si>
    <t>corte</t>
  </si>
  <si>
    <t xml:space="preserve">revisar con mantenimiento </t>
  </si>
  <si>
    <t>1800030801 Prensa 1000</t>
  </si>
  <si>
    <t xml:space="preserve">Perno de grillete mal ubicado </t>
  </si>
  <si>
    <t>revisar sentido de la instalación</t>
  </si>
  <si>
    <t xml:space="preserve">Cable de control suelto </t>
  </si>
  <si>
    <t xml:space="preserve">golpes </t>
  </si>
  <si>
    <t xml:space="preserve">Material en plataforma peatonal </t>
  </si>
  <si>
    <t xml:space="preserve">Aplastamientos, caiídas al mismo nivel </t>
  </si>
  <si>
    <t xml:space="preserve">Colocar delimitantes  durante las operaciones </t>
  </si>
  <si>
    <t xml:space="preserve">Material aplilado </t>
  </si>
  <si>
    <t xml:space="preserve">Caídas al mismo nivel, golpes </t>
  </si>
  <si>
    <t xml:space="preserve">Cable de puente gura en mal estado </t>
  </si>
  <si>
    <t xml:space="preserve">Cambiar cable </t>
  </si>
  <si>
    <t xml:space="preserve">Piso en mal estado </t>
  </si>
  <si>
    <t>Adecuación de pisos</t>
  </si>
  <si>
    <t xml:space="preserve">Alfajia metálica en mal estado </t>
  </si>
  <si>
    <t xml:space="preserve">Aplastamientos, caídas al mismo nivel </t>
  </si>
  <si>
    <t>Cambio de alfajía</t>
  </si>
  <si>
    <t>Bandeja portacables desubicada</t>
  </si>
  <si>
    <t xml:space="preserve">Fijar canaleta </t>
  </si>
  <si>
    <t xml:space="preserve">Gabinete con vidrio roto </t>
  </si>
  <si>
    <t xml:space="preserve">Cambiar vidrio </t>
  </si>
  <si>
    <t xml:space="preserve">Rodillos apilados </t>
  </si>
  <si>
    <t xml:space="preserve">Plumas en sitio inadecuado </t>
  </si>
  <si>
    <t xml:space="preserve">Designar sitio de acopio para los materiales </t>
  </si>
  <si>
    <t xml:space="preserve">Paso peatonal bloqueado </t>
  </si>
  <si>
    <t xml:space="preserve">Paso peatonal no visible </t>
  </si>
  <si>
    <t>1800030202 Cizalla 2</t>
  </si>
  <si>
    <t>Delimitar areas de trabajo.</t>
  </si>
  <si>
    <t xml:space="preserve">Quimicos sin etiquetas </t>
  </si>
  <si>
    <t>Etiquetar conforme HMIS</t>
  </si>
  <si>
    <t xml:space="preserve">Cables aplilados </t>
  </si>
  <si>
    <t>riesgo electrico, manipulacion inadecuada, caidas al mismo nivel</t>
  </si>
  <si>
    <t xml:space="preserve">Sin camilla de emergencia </t>
  </si>
  <si>
    <t>Respuesta a emergencias no adecuada</t>
  </si>
  <si>
    <t>Implementar camilla de emergencia en el taller</t>
  </si>
  <si>
    <t xml:space="preserve">extintor sin delimitación </t>
  </si>
  <si>
    <t>Delimitar area.</t>
  </si>
  <si>
    <t xml:space="preserve">Caballete en mal estado </t>
  </si>
  <si>
    <t>Golpes</t>
  </si>
  <si>
    <t xml:space="preserve">Validar la superficie del caballete </t>
  </si>
  <si>
    <t xml:space="preserve">Caballete sin etiquetade capacidad </t>
  </si>
  <si>
    <t xml:space="preserve">Materiales de trabajo en lugares inadecuados </t>
  </si>
  <si>
    <t xml:space="preserve">Salida  de emergencia bloqueada </t>
  </si>
  <si>
    <t>Despejar salida de emergencia</t>
  </si>
  <si>
    <t xml:space="preserve">Guates no adecuados para aceites </t>
  </si>
  <si>
    <t xml:space="preserve">Cambiar guantes </t>
  </si>
  <si>
    <t xml:space="preserve">Golpes, Caidas al mismo nivel </t>
  </si>
  <si>
    <t xml:space="preserve">Delimitar paso peatonal </t>
  </si>
  <si>
    <t xml:space="preserve">Piso agrietado </t>
  </si>
  <si>
    <t xml:space="preserve">Nivelar el piso </t>
  </si>
  <si>
    <t xml:space="preserve">Piso agrietado zona de carga en galvanizado </t>
  </si>
  <si>
    <t xml:space="preserve">indicadores de hidrolavadora no visibles </t>
  </si>
  <si>
    <t>estructuras para galvanizado de varillas sin anclajes</t>
  </si>
  <si>
    <t>Fijar las estructuras</t>
  </si>
  <si>
    <t xml:space="preserve">Rejilla en mal estado </t>
  </si>
  <si>
    <t xml:space="preserve">Cambiar rejilla </t>
  </si>
  <si>
    <t>Tecles sin sistema LOTO</t>
  </si>
  <si>
    <t>Epóxico</t>
  </si>
  <si>
    <t xml:space="preserve">Revisar con mantenimiento </t>
  </si>
  <si>
    <t xml:space="preserve">Estanteria con sobre carga </t>
  </si>
  <si>
    <t xml:space="preserve">No apilar excesivamente </t>
  </si>
  <si>
    <t xml:space="preserve">Cables del horno epoxico expuesto </t>
  </si>
  <si>
    <t xml:space="preserve">Cerrar o bloquear </t>
  </si>
  <si>
    <t xml:space="preserve">Pared en mal estado </t>
  </si>
  <si>
    <t>Reparación de pared</t>
  </si>
  <si>
    <t>Acumulación de desechos</t>
  </si>
  <si>
    <t>Evacucación de residuos</t>
  </si>
  <si>
    <t>Personal operando elevadores sin certificación</t>
  </si>
  <si>
    <t>Capacitación para operación de equipos</t>
  </si>
  <si>
    <t xml:space="preserve">Ausencias de lines de vida </t>
  </si>
  <si>
    <t>Planta de producción</t>
  </si>
  <si>
    <t xml:space="preserve">Caídas a distinto nivel </t>
  </si>
  <si>
    <t>Instalación de las lineas de vida</t>
  </si>
  <si>
    <t>Tipo de observación</t>
  </si>
  <si>
    <t>Consecuencia</t>
  </si>
  <si>
    <t>Área</t>
  </si>
  <si>
    <t>Responsable de Área</t>
  </si>
  <si>
    <t>Responsable de Corrección</t>
  </si>
  <si>
    <t>1800030201 Cizalla 1</t>
  </si>
  <si>
    <t>ABIERTO</t>
  </si>
  <si>
    <t>CERRADO</t>
  </si>
  <si>
    <t>EN PROCESO</t>
  </si>
  <si>
    <t>ATRASADO</t>
  </si>
  <si>
    <t>1800030205 Corte planchas</t>
  </si>
  <si>
    <t>1800030301 Complementaria</t>
  </si>
  <si>
    <t>Mantenimiento Elétrico</t>
  </si>
  <si>
    <t>Mantenimiento Mecánico</t>
  </si>
  <si>
    <t>Administrativos</t>
  </si>
  <si>
    <t>1800030403 Nave Soldadura</t>
  </si>
  <si>
    <t>Cuarto de Máquinas</t>
  </si>
  <si>
    <t>1800030409 Limpieza de Vigas</t>
  </si>
  <si>
    <t>1800030405 Nave Soldadura</t>
  </si>
  <si>
    <t>1800030406 Empates</t>
  </si>
  <si>
    <t>1800030407 Nave Soldadura</t>
  </si>
  <si>
    <t>1800030501 Ar2000</t>
  </si>
  <si>
    <t>1800030502 AR5000</t>
  </si>
  <si>
    <t>1800030503 Novateja</t>
  </si>
  <si>
    <t>1800030504 Novalosa</t>
  </si>
  <si>
    <t>1800030506 Estilox</t>
  </si>
  <si>
    <t>1800030508 Curvadora</t>
  </si>
  <si>
    <t>1800030509 Dobladora</t>
  </si>
  <si>
    <t>1800030512 DRT</t>
  </si>
  <si>
    <t>1800030514 Prensa Bliss</t>
  </si>
  <si>
    <t>1800030602 Roladora</t>
  </si>
  <si>
    <t>1800030606 Prensa 175</t>
  </si>
  <si>
    <t>1800030701 Galvanizado</t>
  </si>
  <si>
    <t>Expansión de Nuevas Naves</t>
  </si>
  <si>
    <t xml:space="preserve">COMEDOR </t>
  </si>
  <si>
    <t>S/N</t>
  </si>
  <si>
    <t xml:space="preserve">Sistemas Metálicos </t>
  </si>
  <si>
    <t xml:space="preserve">Garita peatonal </t>
  </si>
  <si>
    <t xml:space="preserve">Garita báscula </t>
  </si>
  <si>
    <t>Edificio Adiministrativo</t>
  </si>
  <si>
    <t xml:space="preserve">Compras </t>
  </si>
  <si>
    <t>Henry Narvaez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</si>
</sst>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14" fontId="0" fillId="0" borderId="3" xfId="0" applyNumberFormat="1" applyBorder="1"/>
    <xf numFmtId="0" fontId="0" fillId="0" borderId="3" xfId="0" applyBorder="1"/>
    <xf numFmtId="0" fontId="0" fillId="0" borderId="2" xfId="0" applyBorder="1"/>
    <xf numFmtId="14" fontId="0" fillId="0" borderId="5" xfId="0" applyNumberFormat="1" applyBorder="1"/>
    <xf numFmtId="0" fontId="0" fillId="0" borderId="5" xfId="0" applyBorder="1"/>
    <xf numFmtId="14" fontId="0" fillId="0" borderId="8" xfId="0" applyNumberFormat="1" applyBorder="1"/>
    <xf numFmtId="0" fontId="0" fillId="0" borderId="8" xfId="0" applyBorder="1"/>
    <xf numFmtId="0" fontId="0" fillId="0" borderId="8" xfId="0" applyBorder="1" applyAlignment="1">
      <alignment wrapText="1"/>
    </xf>
    <xf numFmtId="0" fontId="0" fillId="2" borderId="1" xfId="0" applyFill="1" applyBorder="1"/>
    <xf numFmtId="0" fontId="1" fillId="0" borderId="0" xfId="0" applyFont="1"/>
    <xf numFmtId="0" fontId="0" fillId="0" borderId="3" xfId="0" applyBorder="1" applyAlignment="1">
      <alignment horizontal="center"/>
    </xf>
    <xf numFmtId="0" fontId="2" fillId="0" borderId="11" xfId="0" applyFont="1" applyBorder="1"/>
    <xf numFmtId="0" fontId="2" fillId="4" borderId="11" xfId="0" applyFont="1" applyFill="1" applyBorder="1"/>
    <xf numFmtId="0" fontId="2" fillId="0" borderId="0" xfId="0" applyFont="1"/>
    <xf numFmtId="0" fontId="2" fillId="4" borderId="0" xfId="0" applyFont="1" applyFill="1"/>
    <xf numFmtId="0" fontId="0" fillId="5" borderId="0" xfId="0" applyFill="1"/>
    <xf numFmtId="0" fontId="0" fillId="6" borderId="3" xfId="0" applyFill="1" applyBorder="1"/>
    <xf numFmtId="14" fontId="0" fillId="6" borderId="3" xfId="0" applyNumberFormat="1" applyFill="1" applyBorder="1"/>
    <xf numFmtId="0" fontId="0" fillId="6" borderId="1" xfId="0" applyFill="1" applyBorder="1"/>
    <xf numFmtId="0" fontId="0" fillId="6" borderId="3" xfId="0" applyFill="1" applyBorder="1" applyAlignment="1">
      <alignment horizontal="center"/>
    </xf>
    <xf numFmtId="0" fontId="0" fillId="6" borderId="0" xfId="0" applyFill="1"/>
    <xf numFmtId="0" fontId="0" fillId="3" borderId="3" xfId="0" applyFill="1" applyBorder="1" applyAlignment="1">
      <alignment horizontal="center"/>
    </xf>
    <xf numFmtId="0" fontId="2" fillId="0" borderId="12" xfId="0" applyFont="1" applyBorder="1"/>
    <xf numFmtId="0" fontId="0" fillId="2" borderId="0" xfId="0" applyFill="1"/>
    <xf numFmtId="0" fontId="0" fillId="2" borderId="3" xfId="0" applyFill="1" applyBorder="1"/>
    <xf numFmtId="0" fontId="0" fillId="0" borderId="0" xfId="0" applyAlignment="1">
      <alignment horizontal="center"/>
    </xf>
    <xf numFmtId="14" fontId="0" fillId="7" borderId="16" xfId="0" applyNumberFormat="1" applyFill="1" applyBorder="1"/>
    <xf numFmtId="0" fontId="0" fillId="9" borderId="0" xfId="0" applyFill="1"/>
    <xf numFmtId="0" fontId="0" fillId="0" borderId="0" xfId="0" applyAlignment="1">
      <alignment vertical="center" wrapText="1"/>
    </xf>
    <xf numFmtId="0" fontId="0" fillId="4" borderId="0" xfId="0" applyFill="1"/>
    <xf numFmtId="0" fontId="0" fillId="0" borderId="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4" fontId="0" fillId="9" borderId="1" xfId="0" applyNumberForma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4" fontId="0" fillId="0" borderId="3" xfId="0" applyNumberForma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14" fontId="0" fillId="0" borderId="9" xfId="0" applyNumberForma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4" fontId="0" fillId="0" borderId="8" xfId="0" applyNumberFormat="1" applyBorder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14" fontId="0" fillId="5" borderId="3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vertical="center" wrapText="1"/>
    </xf>
    <xf numFmtId="14" fontId="0" fillId="4" borderId="3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4" fontId="1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Q477"/>
  <sheetViews>
    <sheetView tabSelected="1" topLeftCell="F1" workbookViewId="0">
      <pane ySplit="3" topLeftCell="A85" activePane="bottomLeft" state="frozen"/>
      <selection pane="bottomLeft" activeCell="G91" sqref="G91"/>
    </sheetView>
  </sheetViews>
  <sheetFormatPr baseColWidth="10" defaultColWidth="11.44140625" defaultRowHeight="14.4"/>
  <cols>
    <col min="2" max="2" width="11.44140625" style="3"/>
    <col min="3" max="3" width="34.109375" customWidth="1"/>
    <col min="4" max="4" width="85" customWidth="1"/>
    <col min="5" max="5" width="16" customWidth="1"/>
    <col min="6" max="6" width="61.33203125" customWidth="1"/>
    <col min="7" max="7" width="22.21875" bestFit="1" customWidth="1"/>
    <col min="8" max="8" width="15.44140625" customWidth="1"/>
    <col min="9" max="9" width="38" customWidth="1"/>
    <col min="10" max="10" width="14.109375" customWidth="1"/>
    <col min="11" max="11" width="20.6640625" customWidth="1"/>
    <col min="12" max="12" width="21.88671875" customWidth="1"/>
    <col min="14" max="14" width="34.109375" bestFit="1" customWidth="1"/>
  </cols>
  <sheetData>
    <row r="1" spans="1:14" ht="86.4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73" t="s">
        <v>1</v>
      </c>
      <c r="L1" s="35"/>
      <c r="M1" s="35"/>
      <c r="N1" s="36"/>
    </row>
    <row r="2" spans="1:14" s="62" customFormat="1" ht="22.5" customHeight="1">
      <c r="A2" s="70" t="s">
        <v>2</v>
      </c>
      <c r="B2" s="69" t="s">
        <v>3</v>
      </c>
      <c r="C2" s="70" t="s">
        <v>4</v>
      </c>
      <c r="D2" s="70" t="s">
        <v>5</v>
      </c>
      <c r="E2" s="70" t="s">
        <v>6</v>
      </c>
      <c r="F2" s="70" t="s">
        <v>7</v>
      </c>
      <c r="G2" s="70" t="s">
        <v>8</v>
      </c>
      <c r="H2" s="70" t="s">
        <v>9</v>
      </c>
      <c r="I2" s="70" t="s">
        <v>10</v>
      </c>
      <c r="J2" s="61" t="s">
        <v>11</v>
      </c>
      <c r="K2" s="74"/>
      <c r="L2" s="71" t="s">
        <v>12</v>
      </c>
      <c r="M2" s="70" t="s">
        <v>13</v>
      </c>
      <c r="N2" s="70" t="s">
        <v>14</v>
      </c>
    </row>
    <row r="3" spans="1:14" s="62" customFormat="1" ht="22.5" customHeight="1">
      <c r="A3" s="70"/>
      <c r="B3" s="69"/>
      <c r="C3" s="70"/>
      <c r="D3" s="70"/>
      <c r="E3" s="70"/>
      <c r="F3" s="70"/>
      <c r="G3" s="70"/>
      <c r="H3" s="70"/>
      <c r="I3" s="70"/>
      <c r="J3" s="61" t="s">
        <v>15</v>
      </c>
      <c r="K3" s="75"/>
      <c r="L3" s="72"/>
      <c r="M3" s="70"/>
      <c r="N3" s="70"/>
    </row>
    <row r="4" spans="1:14">
      <c r="A4" s="1">
        <v>1</v>
      </c>
      <c r="B4" s="2">
        <v>46056</v>
      </c>
      <c r="C4" s="12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/>
      <c r="K4" s="1"/>
      <c r="L4" s="2">
        <f>B4</f>
        <v>46056</v>
      </c>
      <c r="M4" s="1" t="str">
        <f ca="1">IF(L4&lt;TODAY(),"CERRADO","ABIERTO")</f>
        <v>CERRADO</v>
      </c>
      <c r="N4" s="1" t="s">
        <v>23</v>
      </c>
    </row>
    <row r="5" spans="1:14">
      <c r="A5" s="1">
        <v>2</v>
      </c>
      <c r="B5" s="2">
        <v>46056</v>
      </c>
      <c r="C5" s="12" t="s">
        <v>24</v>
      </c>
      <c r="D5" s="1" t="s">
        <v>25</v>
      </c>
      <c r="E5" s="1" t="s">
        <v>18</v>
      </c>
      <c r="F5" s="1" t="s">
        <v>26</v>
      </c>
      <c r="G5" s="1" t="s">
        <v>20</v>
      </c>
      <c r="H5" s="1" t="s">
        <v>21</v>
      </c>
      <c r="I5" s="1" t="s">
        <v>27</v>
      </c>
      <c r="J5" s="1"/>
      <c r="K5" s="1"/>
      <c r="L5" s="2">
        <f t="shared" ref="L5:L68" si="0">B5</f>
        <v>46056</v>
      </c>
      <c r="M5" s="1" t="str">
        <f t="shared" ref="M5:M68" ca="1" si="1">IF(L5&lt;TODAY(),"CERRADO","ABIERTO")</f>
        <v>CERRADO</v>
      </c>
      <c r="N5" s="1" t="s">
        <v>23</v>
      </c>
    </row>
    <row r="6" spans="1:14">
      <c r="A6" s="1">
        <v>3</v>
      </c>
      <c r="B6" s="2">
        <v>46056</v>
      </c>
      <c r="C6" s="12" t="s">
        <v>24</v>
      </c>
      <c r="D6" s="1" t="s">
        <v>28</v>
      </c>
      <c r="E6" s="1" t="s">
        <v>29</v>
      </c>
      <c r="F6" s="1" t="s">
        <v>26</v>
      </c>
      <c r="G6" s="1" t="s">
        <v>30</v>
      </c>
      <c r="H6" s="1" t="s">
        <v>31</v>
      </c>
      <c r="I6" s="1" t="s">
        <v>27</v>
      </c>
      <c r="J6" s="1"/>
      <c r="K6" s="1"/>
      <c r="L6" s="2">
        <f t="shared" si="0"/>
        <v>46056</v>
      </c>
      <c r="M6" s="1" t="str">
        <f t="shared" ca="1" si="1"/>
        <v>CERRADO</v>
      </c>
      <c r="N6" s="1" t="s">
        <v>23</v>
      </c>
    </row>
    <row r="7" spans="1:14">
      <c r="A7" s="1">
        <v>4</v>
      </c>
      <c r="B7" s="2">
        <v>46064</v>
      </c>
      <c r="C7" s="1" t="s">
        <v>24</v>
      </c>
      <c r="D7" s="1" t="s">
        <v>32</v>
      </c>
      <c r="E7" s="1" t="s">
        <v>18</v>
      </c>
      <c r="F7" s="1" t="s">
        <v>26</v>
      </c>
      <c r="G7" s="1" t="s">
        <v>33</v>
      </c>
      <c r="H7" s="1" t="s">
        <v>34</v>
      </c>
      <c r="I7" s="1" t="s">
        <v>27</v>
      </c>
      <c r="J7" s="1"/>
      <c r="K7" s="1"/>
      <c r="L7" s="2">
        <f t="shared" si="0"/>
        <v>46064</v>
      </c>
      <c r="M7" s="1" t="str">
        <f t="shared" ca="1" si="1"/>
        <v>CERRADO</v>
      </c>
      <c r="N7" s="1" t="s">
        <v>23</v>
      </c>
    </row>
    <row r="8" spans="1:14">
      <c r="A8" s="1">
        <v>5</v>
      </c>
      <c r="B8" s="2">
        <v>46064</v>
      </c>
      <c r="C8" s="1" t="s">
        <v>24</v>
      </c>
      <c r="D8" s="1" t="s">
        <v>35</v>
      </c>
      <c r="E8" s="1" t="s">
        <v>18</v>
      </c>
      <c r="F8" s="1" t="s">
        <v>36</v>
      </c>
      <c r="G8" s="1" t="s">
        <v>33</v>
      </c>
      <c r="H8" s="1" t="s">
        <v>37</v>
      </c>
      <c r="I8" s="1" t="s">
        <v>27</v>
      </c>
      <c r="J8" s="1"/>
      <c r="K8" s="1"/>
      <c r="L8" s="2">
        <f t="shared" si="0"/>
        <v>46064</v>
      </c>
      <c r="M8" s="1" t="str">
        <f t="shared" ca="1" si="1"/>
        <v>CERRADO</v>
      </c>
      <c r="N8" s="1" t="s">
        <v>23</v>
      </c>
    </row>
    <row r="9" spans="1:14">
      <c r="A9" s="1">
        <v>6</v>
      </c>
      <c r="B9" s="2">
        <v>46064</v>
      </c>
      <c r="C9" s="1" t="s">
        <v>24</v>
      </c>
      <c r="D9" s="1" t="s">
        <v>38</v>
      </c>
      <c r="E9" s="1" t="s">
        <v>18</v>
      </c>
      <c r="F9" s="1" t="s">
        <v>26</v>
      </c>
      <c r="G9" s="1" t="s">
        <v>33</v>
      </c>
      <c r="H9" s="1" t="s">
        <v>37</v>
      </c>
      <c r="I9" s="1" t="s">
        <v>27</v>
      </c>
      <c r="J9" s="1"/>
      <c r="K9" s="1"/>
      <c r="L9" s="2">
        <f t="shared" si="0"/>
        <v>46064</v>
      </c>
      <c r="M9" s="1" t="str">
        <f t="shared" ca="1" si="1"/>
        <v>CERRADO</v>
      </c>
      <c r="N9" s="1" t="s">
        <v>23</v>
      </c>
    </row>
    <row r="10" spans="1:14">
      <c r="A10" s="1">
        <v>7</v>
      </c>
      <c r="B10" s="2">
        <v>46064</v>
      </c>
      <c r="C10" s="1" t="s">
        <v>24</v>
      </c>
      <c r="D10" s="1" t="s">
        <v>39</v>
      </c>
      <c r="E10" s="1" t="s">
        <v>18</v>
      </c>
      <c r="F10" s="1" t="s">
        <v>40</v>
      </c>
      <c r="G10" s="1" t="s">
        <v>33</v>
      </c>
      <c r="H10" s="1" t="s">
        <v>37</v>
      </c>
      <c r="I10" s="1" t="s">
        <v>27</v>
      </c>
      <c r="J10" s="1"/>
      <c r="K10" s="1"/>
      <c r="L10" s="2">
        <f t="shared" si="0"/>
        <v>46064</v>
      </c>
      <c r="M10" s="1" t="str">
        <f t="shared" ca="1" si="1"/>
        <v>CERRADO</v>
      </c>
      <c r="N10" s="1" t="s">
        <v>23</v>
      </c>
    </row>
    <row r="11" spans="1:14">
      <c r="A11" s="1">
        <v>8</v>
      </c>
      <c r="B11" s="2">
        <v>46073</v>
      </c>
      <c r="C11" s="1" t="s">
        <v>16</v>
      </c>
      <c r="D11" s="1" t="s">
        <v>41</v>
      </c>
      <c r="E11" s="1" t="s">
        <v>42</v>
      </c>
      <c r="F11" s="1" t="s">
        <v>43</v>
      </c>
      <c r="G11" s="1" t="s">
        <v>33</v>
      </c>
      <c r="H11" s="1" t="s">
        <v>37</v>
      </c>
      <c r="I11" s="1" t="s">
        <v>44</v>
      </c>
      <c r="J11" s="1"/>
      <c r="K11" s="1"/>
      <c r="L11" s="2">
        <f t="shared" si="0"/>
        <v>46073</v>
      </c>
      <c r="M11" s="1" t="str">
        <f t="shared" ca="1" si="1"/>
        <v>CERRADO</v>
      </c>
      <c r="N11" s="1" t="s">
        <v>23</v>
      </c>
    </row>
    <row r="12" spans="1:14">
      <c r="A12" s="1">
        <v>9</v>
      </c>
      <c r="B12" s="2">
        <v>46077</v>
      </c>
      <c r="C12" s="1" t="s">
        <v>16</v>
      </c>
      <c r="D12" s="1" t="s">
        <v>45</v>
      </c>
      <c r="E12" s="1" t="s">
        <v>29</v>
      </c>
      <c r="F12" s="1" t="s">
        <v>40</v>
      </c>
      <c r="G12" s="1" t="s">
        <v>30</v>
      </c>
      <c r="H12" s="1" t="s">
        <v>31</v>
      </c>
      <c r="I12" s="1" t="s">
        <v>46</v>
      </c>
      <c r="J12" s="1"/>
      <c r="K12" s="1"/>
      <c r="L12" s="2">
        <f t="shared" si="0"/>
        <v>46077</v>
      </c>
      <c r="M12" s="1" t="str">
        <f t="shared" ca="1" si="1"/>
        <v>CERRADO</v>
      </c>
      <c r="N12" s="1" t="s">
        <v>23</v>
      </c>
    </row>
    <row r="13" spans="1:14">
      <c r="A13" s="1">
        <v>10</v>
      </c>
      <c r="B13" s="2">
        <v>46073</v>
      </c>
      <c r="C13" s="1" t="s">
        <v>16</v>
      </c>
      <c r="D13" s="1" t="s">
        <v>47</v>
      </c>
      <c r="E13" s="1" t="s">
        <v>18</v>
      </c>
      <c r="F13" s="1" t="s">
        <v>40</v>
      </c>
      <c r="G13" s="1" t="s">
        <v>33</v>
      </c>
      <c r="H13" s="1" t="s">
        <v>37</v>
      </c>
      <c r="I13" s="1" t="s">
        <v>48</v>
      </c>
      <c r="J13" s="1"/>
      <c r="K13" s="1"/>
      <c r="L13" s="2">
        <f t="shared" si="0"/>
        <v>46073</v>
      </c>
      <c r="M13" s="1" t="str">
        <f t="shared" ca="1" si="1"/>
        <v>CERRADO</v>
      </c>
      <c r="N13" s="1" t="s">
        <v>23</v>
      </c>
    </row>
    <row r="14" spans="1:14">
      <c r="A14" s="1">
        <v>11</v>
      </c>
      <c r="B14" s="2">
        <v>46073</v>
      </c>
      <c r="C14" s="1" t="s">
        <v>49</v>
      </c>
      <c r="D14" s="1" t="s">
        <v>47</v>
      </c>
      <c r="E14" s="1" t="s">
        <v>18</v>
      </c>
      <c r="F14" s="1" t="s">
        <v>40</v>
      </c>
      <c r="G14" s="1" t="s">
        <v>33</v>
      </c>
      <c r="H14" s="1" t="s">
        <v>37</v>
      </c>
      <c r="I14" s="1" t="s">
        <v>48</v>
      </c>
      <c r="J14" s="1"/>
      <c r="K14" s="1"/>
      <c r="L14" s="2">
        <f t="shared" si="0"/>
        <v>46073</v>
      </c>
      <c r="M14" s="1" t="str">
        <f t="shared" ca="1" si="1"/>
        <v>CERRADO</v>
      </c>
      <c r="N14" s="1" t="s">
        <v>23</v>
      </c>
    </row>
    <row r="15" spans="1:14">
      <c r="A15" s="1">
        <v>12</v>
      </c>
      <c r="B15" s="2">
        <v>46073</v>
      </c>
      <c r="C15" s="1" t="s">
        <v>49</v>
      </c>
      <c r="D15" s="1" t="s">
        <v>47</v>
      </c>
      <c r="E15" s="1" t="s">
        <v>42</v>
      </c>
      <c r="F15" s="1" t="s">
        <v>40</v>
      </c>
      <c r="G15" s="1" t="s">
        <v>33</v>
      </c>
      <c r="H15" s="1" t="s">
        <v>37</v>
      </c>
      <c r="I15" s="1" t="s">
        <v>48</v>
      </c>
      <c r="J15" s="1"/>
      <c r="K15" s="1"/>
      <c r="L15" s="2">
        <f t="shared" si="0"/>
        <v>46073</v>
      </c>
      <c r="M15" s="1" t="str">
        <f t="shared" ca="1" si="1"/>
        <v>CERRADO</v>
      </c>
      <c r="N15" s="1" t="s">
        <v>23</v>
      </c>
    </row>
    <row r="16" spans="1:14">
      <c r="A16" s="1">
        <v>13</v>
      </c>
      <c r="B16" s="2">
        <v>46077</v>
      </c>
      <c r="C16" s="1" t="s">
        <v>24</v>
      </c>
      <c r="D16" s="1" t="s">
        <v>50</v>
      </c>
      <c r="E16" s="1" t="s">
        <v>18</v>
      </c>
      <c r="F16" s="1" t="s">
        <v>51</v>
      </c>
      <c r="G16" s="1" t="s">
        <v>33</v>
      </c>
      <c r="H16" s="1" t="s">
        <v>37</v>
      </c>
      <c r="I16" s="1" t="s">
        <v>52</v>
      </c>
      <c r="J16" s="1"/>
      <c r="K16" s="1"/>
      <c r="L16" s="2">
        <f t="shared" si="0"/>
        <v>46077</v>
      </c>
      <c r="M16" s="1" t="str">
        <f t="shared" ca="1" si="1"/>
        <v>CERRADO</v>
      </c>
      <c r="N16" s="1" t="s">
        <v>23</v>
      </c>
    </row>
    <row r="17" spans="1:14">
      <c r="A17" s="1">
        <v>14</v>
      </c>
      <c r="B17" s="2">
        <v>46077</v>
      </c>
      <c r="C17" s="1" t="s">
        <v>16</v>
      </c>
      <c r="D17" s="1" t="s">
        <v>53</v>
      </c>
      <c r="E17" s="1" t="s">
        <v>18</v>
      </c>
      <c r="F17" s="1" t="s">
        <v>54</v>
      </c>
      <c r="G17" s="1" t="s">
        <v>33</v>
      </c>
      <c r="H17" s="1" t="s">
        <v>55</v>
      </c>
      <c r="I17" s="1" t="s">
        <v>56</v>
      </c>
      <c r="J17" s="1"/>
      <c r="K17" s="1"/>
      <c r="L17" s="2">
        <f t="shared" si="0"/>
        <v>46077</v>
      </c>
      <c r="M17" s="1" t="str">
        <f t="shared" ca="1" si="1"/>
        <v>CERRADO</v>
      </c>
      <c r="N17" s="1"/>
    </row>
    <row r="18" spans="1:14">
      <c r="A18" s="1">
        <v>15</v>
      </c>
      <c r="B18" s="2">
        <v>46077</v>
      </c>
      <c r="C18" s="1" t="s">
        <v>16</v>
      </c>
      <c r="D18" s="1" t="s">
        <v>57</v>
      </c>
      <c r="E18" s="1" t="s">
        <v>18</v>
      </c>
      <c r="F18" s="1" t="s">
        <v>58</v>
      </c>
      <c r="G18" s="1" t="s">
        <v>33</v>
      </c>
      <c r="H18" s="1" t="s">
        <v>37</v>
      </c>
      <c r="I18" s="1" t="s">
        <v>59</v>
      </c>
      <c r="J18" s="1"/>
      <c r="K18" s="1"/>
      <c r="L18" s="2">
        <f t="shared" si="0"/>
        <v>46077</v>
      </c>
      <c r="M18" s="1" t="str">
        <f t="shared" ca="1" si="1"/>
        <v>CERRADO</v>
      </c>
      <c r="N18" s="1" t="s">
        <v>60</v>
      </c>
    </row>
    <row r="19" spans="1:14">
      <c r="A19" s="1">
        <v>16</v>
      </c>
      <c r="B19" s="2">
        <v>46077</v>
      </c>
      <c r="C19" s="1" t="s">
        <v>24</v>
      </c>
      <c r="D19" s="1" t="s">
        <v>61</v>
      </c>
      <c r="E19" s="1" t="s">
        <v>18</v>
      </c>
      <c r="F19" s="1" t="s">
        <v>40</v>
      </c>
      <c r="G19" s="1" t="s">
        <v>33</v>
      </c>
      <c r="H19" s="1" t="s">
        <v>37</v>
      </c>
      <c r="I19" s="1" t="s">
        <v>62</v>
      </c>
      <c r="J19" s="1"/>
      <c r="K19" s="1"/>
      <c r="L19" s="2">
        <f t="shared" si="0"/>
        <v>46077</v>
      </c>
      <c r="M19" s="1" t="str">
        <f t="shared" ca="1" si="1"/>
        <v>CERRADO</v>
      </c>
      <c r="N19" s="1" t="s">
        <v>23</v>
      </c>
    </row>
    <row r="20" spans="1:14">
      <c r="A20" s="1">
        <v>17</v>
      </c>
      <c r="B20" s="2">
        <v>46077</v>
      </c>
      <c r="C20" s="1" t="s">
        <v>24</v>
      </c>
      <c r="D20" s="1" t="s">
        <v>50</v>
      </c>
      <c r="E20" s="1" t="s">
        <v>18</v>
      </c>
      <c r="F20" s="1" t="s">
        <v>51</v>
      </c>
      <c r="G20" s="1" t="s">
        <v>33</v>
      </c>
      <c r="H20" s="1" t="s">
        <v>37</v>
      </c>
      <c r="I20" s="1" t="s">
        <v>63</v>
      </c>
      <c r="J20" s="1"/>
      <c r="K20" s="1"/>
      <c r="L20" s="2">
        <f t="shared" si="0"/>
        <v>46077</v>
      </c>
      <c r="M20" s="1" t="str">
        <f t="shared" ca="1" si="1"/>
        <v>CERRADO</v>
      </c>
      <c r="N20" s="1" t="s">
        <v>23</v>
      </c>
    </row>
    <row r="21" spans="1:14">
      <c r="A21" s="1">
        <v>18</v>
      </c>
      <c r="B21" s="2">
        <v>46078</v>
      </c>
      <c r="C21" s="1" t="s">
        <v>16</v>
      </c>
      <c r="D21" s="1" t="s">
        <v>64</v>
      </c>
      <c r="E21" s="1" t="s">
        <v>65</v>
      </c>
      <c r="F21" s="1" t="s">
        <v>66</v>
      </c>
      <c r="G21" s="1" t="s">
        <v>30</v>
      </c>
      <c r="H21" s="1" t="s">
        <v>31</v>
      </c>
      <c r="I21" s="1" t="s">
        <v>67</v>
      </c>
      <c r="J21" s="1"/>
      <c r="K21" s="1"/>
      <c r="L21" s="2">
        <f t="shared" si="0"/>
        <v>46078</v>
      </c>
      <c r="M21" s="1" t="str">
        <f t="shared" ca="1" si="1"/>
        <v>CERRADO</v>
      </c>
      <c r="N21" s="1" t="s">
        <v>23</v>
      </c>
    </row>
    <row r="22" spans="1:14">
      <c r="A22" s="1">
        <v>19</v>
      </c>
      <c r="B22" s="2">
        <v>46078</v>
      </c>
      <c r="C22" s="1" t="s">
        <v>16</v>
      </c>
      <c r="D22" s="1" t="s">
        <v>68</v>
      </c>
      <c r="E22" s="1" t="s">
        <v>65</v>
      </c>
      <c r="F22" s="1" t="s">
        <v>66</v>
      </c>
      <c r="G22" s="1" t="s">
        <v>30</v>
      </c>
      <c r="H22" s="1" t="s">
        <v>31</v>
      </c>
      <c r="I22" s="1" t="s">
        <v>69</v>
      </c>
      <c r="J22" s="1"/>
      <c r="K22" s="1"/>
      <c r="L22" s="2">
        <f t="shared" si="0"/>
        <v>46078</v>
      </c>
      <c r="M22" s="1" t="str">
        <f t="shared" ca="1" si="1"/>
        <v>CERRADO</v>
      </c>
      <c r="N22" s="1" t="s">
        <v>23</v>
      </c>
    </row>
    <row r="23" spans="1:14">
      <c r="A23" s="1">
        <v>20</v>
      </c>
      <c r="B23" s="2">
        <v>46078</v>
      </c>
      <c r="C23" s="1" t="s">
        <v>24</v>
      </c>
      <c r="D23" s="1" t="s">
        <v>70</v>
      </c>
      <c r="E23" s="1" t="s">
        <v>18</v>
      </c>
      <c r="F23" s="1" t="s">
        <v>71</v>
      </c>
      <c r="G23" s="1" t="s">
        <v>33</v>
      </c>
      <c r="H23" s="1" t="s">
        <v>37</v>
      </c>
      <c r="I23" s="1" t="s">
        <v>72</v>
      </c>
      <c r="J23" s="1"/>
      <c r="K23" s="1"/>
      <c r="L23" s="2">
        <f t="shared" si="0"/>
        <v>46078</v>
      </c>
      <c r="M23" s="1" t="str">
        <f t="shared" ca="1" si="1"/>
        <v>CERRADO</v>
      </c>
      <c r="N23" s="1" t="s">
        <v>23</v>
      </c>
    </row>
    <row r="24" spans="1:14">
      <c r="A24" s="1">
        <v>21</v>
      </c>
      <c r="B24" s="2">
        <v>46078</v>
      </c>
      <c r="C24" s="1" t="s">
        <v>16</v>
      </c>
      <c r="D24" s="1" t="s">
        <v>73</v>
      </c>
      <c r="E24" s="1" t="s">
        <v>42</v>
      </c>
      <c r="F24" s="1" t="s">
        <v>74</v>
      </c>
      <c r="G24" s="1" t="s">
        <v>33</v>
      </c>
      <c r="H24" s="1" t="s">
        <v>37</v>
      </c>
      <c r="I24" s="1" t="s">
        <v>75</v>
      </c>
      <c r="J24" s="1"/>
      <c r="K24" s="1"/>
      <c r="L24" s="2">
        <f t="shared" si="0"/>
        <v>46078</v>
      </c>
      <c r="M24" s="1" t="str">
        <f t="shared" ca="1" si="1"/>
        <v>CERRADO</v>
      </c>
      <c r="N24" s="1" t="s">
        <v>23</v>
      </c>
    </row>
    <row r="25" spans="1:14">
      <c r="A25" s="1">
        <v>22</v>
      </c>
      <c r="B25" s="2">
        <v>46078</v>
      </c>
      <c r="C25" s="1" t="s">
        <v>16</v>
      </c>
      <c r="D25" s="1" t="s">
        <v>76</v>
      </c>
      <c r="E25" s="1" t="s">
        <v>65</v>
      </c>
      <c r="F25" s="1" t="s">
        <v>77</v>
      </c>
      <c r="G25" s="1" t="s">
        <v>33</v>
      </c>
      <c r="H25" s="1" t="s">
        <v>37</v>
      </c>
      <c r="I25" s="1" t="s">
        <v>78</v>
      </c>
      <c r="J25" s="1"/>
      <c r="K25" s="1"/>
      <c r="L25" s="2">
        <f t="shared" si="0"/>
        <v>46078</v>
      </c>
      <c r="M25" s="1" t="str">
        <f t="shared" ca="1" si="1"/>
        <v>CERRADO</v>
      </c>
      <c r="N25" s="1" t="s">
        <v>23</v>
      </c>
    </row>
    <row r="26" spans="1:14">
      <c r="A26" s="1">
        <v>23</v>
      </c>
      <c r="B26" s="2">
        <v>46078</v>
      </c>
      <c r="C26" s="1" t="s">
        <v>16</v>
      </c>
      <c r="D26" s="1" t="s">
        <v>57</v>
      </c>
      <c r="E26" s="1" t="s">
        <v>29</v>
      </c>
      <c r="F26" s="1" t="s">
        <v>58</v>
      </c>
      <c r="G26" s="1" t="s">
        <v>30</v>
      </c>
      <c r="H26" s="1" t="s">
        <v>79</v>
      </c>
      <c r="I26" s="1" t="s">
        <v>80</v>
      </c>
      <c r="J26" s="1"/>
      <c r="K26" s="1"/>
      <c r="L26" s="2">
        <f t="shared" si="0"/>
        <v>46078</v>
      </c>
      <c r="M26" s="1" t="str">
        <f t="shared" ca="1" si="1"/>
        <v>CERRADO</v>
      </c>
      <c r="N26" s="1" t="s">
        <v>23</v>
      </c>
    </row>
    <row r="27" spans="1:14">
      <c r="A27" s="1">
        <v>24</v>
      </c>
      <c r="B27" s="2">
        <v>46079</v>
      </c>
      <c r="C27" s="1" t="s">
        <v>24</v>
      </c>
      <c r="D27" s="1" t="s">
        <v>81</v>
      </c>
      <c r="E27" s="1" t="s">
        <v>82</v>
      </c>
      <c r="F27" s="1" t="s">
        <v>83</v>
      </c>
      <c r="G27" s="1" t="s">
        <v>33</v>
      </c>
      <c r="H27" s="1" t="s">
        <v>37</v>
      </c>
      <c r="I27" s="1" t="s">
        <v>84</v>
      </c>
      <c r="J27" s="1"/>
      <c r="K27" s="1"/>
      <c r="L27" s="2">
        <f t="shared" si="0"/>
        <v>46079</v>
      </c>
      <c r="M27" s="1" t="str">
        <f t="shared" ca="1" si="1"/>
        <v>CERRADO</v>
      </c>
      <c r="N27" s="1" t="s">
        <v>23</v>
      </c>
    </row>
    <row r="28" spans="1:14">
      <c r="A28" s="1">
        <v>25</v>
      </c>
      <c r="B28" s="2">
        <v>46079</v>
      </c>
      <c r="C28" s="1" t="s">
        <v>85</v>
      </c>
      <c r="D28" s="1" t="s">
        <v>86</v>
      </c>
      <c r="E28" s="1" t="s">
        <v>82</v>
      </c>
      <c r="F28" s="1" t="s">
        <v>87</v>
      </c>
      <c r="G28" s="1" t="s">
        <v>88</v>
      </c>
      <c r="H28" s="1" t="s">
        <v>89</v>
      </c>
      <c r="I28" s="1" t="s">
        <v>27</v>
      </c>
      <c r="J28" s="1"/>
      <c r="K28" s="1"/>
      <c r="L28" s="2">
        <f t="shared" si="0"/>
        <v>46079</v>
      </c>
      <c r="M28" s="1" t="str">
        <f t="shared" ca="1" si="1"/>
        <v>CERRADO</v>
      </c>
      <c r="N28" s="1" t="s">
        <v>23</v>
      </c>
    </row>
    <row r="29" spans="1:14">
      <c r="A29" s="1">
        <v>26</v>
      </c>
      <c r="B29" s="2">
        <v>46079</v>
      </c>
      <c r="C29" s="1" t="s">
        <v>85</v>
      </c>
      <c r="D29" s="1" t="s">
        <v>90</v>
      </c>
      <c r="E29" s="1" t="s">
        <v>18</v>
      </c>
      <c r="F29" s="1" t="s">
        <v>91</v>
      </c>
      <c r="G29" s="1" t="s">
        <v>33</v>
      </c>
      <c r="H29" s="1" t="s">
        <v>37</v>
      </c>
      <c r="I29" s="1" t="s">
        <v>27</v>
      </c>
      <c r="J29" s="1"/>
      <c r="K29" s="1"/>
      <c r="L29" s="2">
        <f t="shared" si="0"/>
        <v>46079</v>
      </c>
      <c r="M29" s="1" t="str">
        <f t="shared" ca="1" si="1"/>
        <v>CERRADO</v>
      </c>
      <c r="N29" s="1" t="s">
        <v>23</v>
      </c>
    </row>
    <row r="30" spans="1:14">
      <c r="A30" s="1">
        <v>27</v>
      </c>
      <c r="B30" s="2">
        <v>46080</v>
      </c>
      <c r="C30" s="1" t="s">
        <v>85</v>
      </c>
      <c r="D30" s="1" t="s">
        <v>92</v>
      </c>
      <c r="E30" s="1" t="s">
        <v>93</v>
      </c>
      <c r="F30" s="1" t="s">
        <v>40</v>
      </c>
      <c r="G30" s="1" t="s">
        <v>33</v>
      </c>
      <c r="H30" s="1" t="s">
        <v>94</v>
      </c>
      <c r="I30" s="1" t="s">
        <v>95</v>
      </c>
      <c r="J30" s="1"/>
      <c r="K30" s="1"/>
      <c r="L30" s="2">
        <f t="shared" si="0"/>
        <v>46080</v>
      </c>
      <c r="M30" s="1" t="str">
        <f t="shared" ca="1" si="1"/>
        <v>CERRADO</v>
      </c>
      <c r="N30" s="1" t="s">
        <v>23</v>
      </c>
    </row>
    <row r="31" spans="1:14">
      <c r="A31" s="1">
        <v>28</v>
      </c>
      <c r="B31" s="2">
        <v>46080</v>
      </c>
      <c r="C31" s="1" t="s">
        <v>16</v>
      </c>
      <c r="D31" s="1" t="s">
        <v>96</v>
      </c>
      <c r="E31" s="1" t="s">
        <v>18</v>
      </c>
      <c r="F31" s="1" t="s">
        <v>97</v>
      </c>
      <c r="G31" s="1" t="s">
        <v>33</v>
      </c>
      <c r="H31" s="1" t="s">
        <v>37</v>
      </c>
      <c r="I31" s="1" t="s">
        <v>98</v>
      </c>
      <c r="J31" s="1"/>
      <c r="K31" s="1"/>
      <c r="L31" s="2">
        <f t="shared" si="0"/>
        <v>46080</v>
      </c>
      <c r="M31" s="1" t="str">
        <f t="shared" ca="1" si="1"/>
        <v>CERRADO</v>
      </c>
      <c r="N31" s="1" t="s">
        <v>23</v>
      </c>
    </row>
    <row r="32" spans="1:14">
      <c r="A32" s="1">
        <v>29</v>
      </c>
      <c r="B32" s="2">
        <v>46080</v>
      </c>
      <c r="C32" s="1" t="s">
        <v>16</v>
      </c>
      <c r="D32" s="1" t="s">
        <v>99</v>
      </c>
      <c r="E32" s="1" t="s">
        <v>18</v>
      </c>
      <c r="F32" s="1" t="s">
        <v>100</v>
      </c>
      <c r="G32" s="1" t="s">
        <v>33</v>
      </c>
      <c r="H32" s="1" t="s">
        <v>37</v>
      </c>
      <c r="I32" s="1" t="s">
        <v>101</v>
      </c>
      <c r="J32" s="1"/>
      <c r="K32" s="1"/>
      <c r="L32" s="2">
        <f t="shared" si="0"/>
        <v>46080</v>
      </c>
      <c r="M32" s="1" t="str">
        <f t="shared" ca="1" si="1"/>
        <v>CERRADO</v>
      </c>
      <c r="N32" s="1" t="s">
        <v>23</v>
      </c>
    </row>
    <row r="33" spans="1:14">
      <c r="A33" s="1">
        <v>30</v>
      </c>
      <c r="B33" s="2">
        <v>46083</v>
      </c>
      <c r="C33" s="1" t="s">
        <v>85</v>
      </c>
      <c r="D33" s="1" t="s">
        <v>102</v>
      </c>
      <c r="E33" s="1" t="s">
        <v>82</v>
      </c>
      <c r="F33" s="1" t="s">
        <v>103</v>
      </c>
      <c r="G33" s="1" t="s">
        <v>33</v>
      </c>
      <c r="H33" s="1" t="s">
        <v>104</v>
      </c>
      <c r="I33" s="1" t="s">
        <v>105</v>
      </c>
      <c r="J33" s="1"/>
      <c r="K33" s="1"/>
      <c r="L33" s="2">
        <f t="shared" si="0"/>
        <v>46083</v>
      </c>
      <c r="M33" s="1" t="str">
        <f t="shared" ca="1" si="1"/>
        <v>CERRADO</v>
      </c>
      <c r="N33" s="1" t="s">
        <v>23</v>
      </c>
    </row>
    <row r="34" spans="1:14">
      <c r="A34" s="1">
        <v>31</v>
      </c>
      <c r="B34" s="2">
        <v>46083</v>
      </c>
      <c r="C34" s="1" t="s">
        <v>85</v>
      </c>
      <c r="D34" s="1" t="s">
        <v>106</v>
      </c>
      <c r="E34" s="1" t="s">
        <v>107</v>
      </c>
      <c r="F34" s="1" t="s">
        <v>108</v>
      </c>
      <c r="G34" s="1" t="s">
        <v>88</v>
      </c>
      <c r="H34" s="1" t="s">
        <v>109</v>
      </c>
      <c r="I34" s="1" t="s">
        <v>110</v>
      </c>
      <c r="J34" s="1"/>
      <c r="K34" s="1"/>
      <c r="L34" s="2">
        <f t="shared" si="0"/>
        <v>46083</v>
      </c>
      <c r="M34" s="1" t="str">
        <f t="shared" ca="1" si="1"/>
        <v>CERRADO</v>
      </c>
      <c r="N34" s="1" t="s">
        <v>23</v>
      </c>
    </row>
    <row r="35" spans="1:14">
      <c r="A35" s="1">
        <v>32</v>
      </c>
      <c r="B35" s="2">
        <v>46083</v>
      </c>
      <c r="C35" s="1" t="s">
        <v>16</v>
      </c>
      <c r="D35" s="1" t="s">
        <v>111</v>
      </c>
      <c r="E35" s="1" t="s">
        <v>112</v>
      </c>
      <c r="F35" s="1" t="s">
        <v>113</v>
      </c>
      <c r="G35" s="1" t="s">
        <v>30</v>
      </c>
      <c r="H35" s="1" t="s">
        <v>31</v>
      </c>
      <c r="I35" s="1" t="s">
        <v>114</v>
      </c>
      <c r="J35" s="1"/>
      <c r="K35" s="1"/>
      <c r="L35" s="2">
        <f t="shared" si="0"/>
        <v>46083</v>
      </c>
      <c r="M35" s="1" t="str">
        <f t="shared" ca="1" si="1"/>
        <v>CERRADO</v>
      </c>
      <c r="N35" s="1" t="s">
        <v>23</v>
      </c>
    </row>
    <row r="36" spans="1:14">
      <c r="A36" s="1">
        <v>33</v>
      </c>
      <c r="B36" s="2">
        <v>46083</v>
      </c>
      <c r="C36" s="1" t="s">
        <v>16</v>
      </c>
      <c r="D36" s="1" t="s">
        <v>115</v>
      </c>
      <c r="E36" s="1" t="s">
        <v>112</v>
      </c>
      <c r="F36" s="1" t="s">
        <v>116</v>
      </c>
      <c r="G36" s="1" t="s">
        <v>30</v>
      </c>
      <c r="H36" s="1" t="s">
        <v>31</v>
      </c>
      <c r="I36" s="1" t="s">
        <v>117</v>
      </c>
      <c r="J36" s="1"/>
      <c r="K36" s="1"/>
      <c r="L36" s="2">
        <f t="shared" si="0"/>
        <v>46083</v>
      </c>
      <c r="M36" s="1" t="str">
        <f t="shared" ca="1" si="1"/>
        <v>CERRADO</v>
      </c>
      <c r="N36" s="1" t="s">
        <v>23</v>
      </c>
    </row>
    <row r="37" spans="1:14">
      <c r="A37" s="1">
        <v>34</v>
      </c>
      <c r="B37" s="2">
        <v>46083</v>
      </c>
      <c r="C37" s="1" t="s">
        <v>85</v>
      </c>
      <c r="D37" s="1" t="s">
        <v>118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/>
      <c r="K37" s="1"/>
      <c r="L37" s="2">
        <f t="shared" si="0"/>
        <v>46083</v>
      </c>
      <c r="M37" s="1" t="str">
        <f t="shared" ca="1" si="1"/>
        <v>CERRADO</v>
      </c>
      <c r="N37" s="1" t="s">
        <v>23</v>
      </c>
    </row>
    <row r="38" spans="1:14">
      <c r="A38" s="1">
        <v>35</v>
      </c>
      <c r="B38" s="2">
        <v>46083</v>
      </c>
      <c r="C38" s="1" t="s">
        <v>16</v>
      </c>
      <c r="D38" s="1" t="s">
        <v>124</v>
      </c>
      <c r="E38" s="1" t="s">
        <v>125</v>
      </c>
      <c r="F38" s="1" t="s">
        <v>126</v>
      </c>
      <c r="G38" s="1" t="s">
        <v>121</v>
      </c>
      <c r="H38" s="1" t="s">
        <v>122</v>
      </c>
      <c r="I38" s="1" t="s">
        <v>117</v>
      </c>
      <c r="J38" s="1"/>
      <c r="K38" s="1"/>
      <c r="L38" s="2">
        <f t="shared" si="0"/>
        <v>46083</v>
      </c>
      <c r="M38" s="1" t="str">
        <f t="shared" ca="1" si="1"/>
        <v>CERRADO</v>
      </c>
      <c r="N38" s="1" t="s">
        <v>23</v>
      </c>
    </row>
    <row r="39" spans="1:14">
      <c r="A39" s="1">
        <v>36</v>
      </c>
      <c r="B39" s="2">
        <v>46083</v>
      </c>
      <c r="C39" s="1" t="s">
        <v>85</v>
      </c>
      <c r="D39" s="1" t="s">
        <v>127</v>
      </c>
      <c r="E39" s="1" t="s">
        <v>128</v>
      </c>
      <c r="F39" s="1" t="s">
        <v>129</v>
      </c>
      <c r="G39" s="1" t="s">
        <v>33</v>
      </c>
      <c r="H39" s="1" t="s">
        <v>130</v>
      </c>
      <c r="I39" s="1" t="s">
        <v>131</v>
      </c>
      <c r="J39" s="1"/>
      <c r="K39" s="1"/>
      <c r="L39" s="2">
        <f t="shared" si="0"/>
        <v>46083</v>
      </c>
      <c r="M39" s="1" t="str">
        <f t="shared" ca="1" si="1"/>
        <v>CERRADO</v>
      </c>
      <c r="N39" s="1" t="s">
        <v>23</v>
      </c>
    </row>
    <row r="40" spans="1:14">
      <c r="A40" s="1">
        <v>37</v>
      </c>
      <c r="B40" s="2">
        <v>46083</v>
      </c>
      <c r="C40" s="1" t="s">
        <v>132</v>
      </c>
      <c r="D40" s="1" t="s">
        <v>133</v>
      </c>
      <c r="E40" s="1" t="s">
        <v>128</v>
      </c>
      <c r="F40" s="1" t="s">
        <v>134</v>
      </c>
      <c r="G40" s="1" t="s">
        <v>33</v>
      </c>
      <c r="H40" s="1" t="s">
        <v>135</v>
      </c>
      <c r="I40" s="1" t="s">
        <v>136</v>
      </c>
      <c r="J40" s="1"/>
      <c r="K40" s="1"/>
      <c r="L40" s="2">
        <f t="shared" si="0"/>
        <v>46083</v>
      </c>
      <c r="M40" s="1" t="str">
        <f t="shared" ca="1" si="1"/>
        <v>CERRADO</v>
      </c>
      <c r="N40" s="1" t="s">
        <v>23</v>
      </c>
    </row>
    <row r="41" spans="1:14">
      <c r="A41" s="1">
        <v>38</v>
      </c>
      <c r="B41" s="2">
        <v>46083</v>
      </c>
      <c r="C41" s="1" t="s">
        <v>16</v>
      </c>
      <c r="D41" s="1" t="s">
        <v>137</v>
      </c>
      <c r="E41" s="1" t="s">
        <v>128</v>
      </c>
      <c r="F41" s="1" t="s">
        <v>138</v>
      </c>
      <c r="G41" s="1" t="s">
        <v>33</v>
      </c>
      <c r="H41" s="1" t="s">
        <v>139</v>
      </c>
      <c r="I41" s="1" t="s">
        <v>140</v>
      </c>
      <c r="J41" s="1"/>
      <c r="K41" s="1"/>
      <c r="L41" s="2">
        <f t="shared" si="0"/>
        <v>46083</v>
      </c>
      <c r="M41" s="1" t="str">
        <f t="shared" ca="1" si="1"/>
        <v>CERRADO</v>
      </c>
      <c r="N41" s="1" t="s">
        <v>23</v>
      </c>
    </row>
    <row r="42" spans="1:14">
      <c r="A42" s="1">
        <v>39</v>
      </c>
      <c r="B42" s="2">
        <v>46083</v>
      </c>
      <c r="C42" s="1" t="s">
        <v>16</v>
      </c>
      <c r="D42" s="1" t="s">
        <v>141</v>
      </c>
      <c r="E42" s="1" t="s">
        <v>128</v>
      </c>
      <c r="F42" s="1" t="s">
        <v>142</v>
      </c>
      <c r="G42" s="1" t="s">
        <v>33</v>
      </c>
      <c r="H42" s="1" t="s">
        <v>139</v>
      </c>
      <c r="I42" s="1" t="s">
        <v>143</v>
      </c>
      <c r="J42" s="1"/>
      <c r="K42" s="1"/>
      <c r="L42" s="2">
        <f t="shared" si="0"/>
        <v>46083</v>
      </c>
      <c r="M42" s="1" t="str">
        <f t="shared" ca="1" si="1"/>
        <v>CERRADO</v>
      </c>
      <c r="N42" s="1" t="s">
        <v>23</v>
      </c>
    </row>
    <row r="43" spans="1:14">
      <c r="A43" s="1">
        <v>40</v>
      </c>
      <c r="B43" s="2">
        <v>46083</v>
      </c>
      <c r="C43" s="1" t="s">
        <v>16</v>
      </c>
      <c r="D43" s="1" t="s">
        <v>144</v>
      </c>
      <c r="E43" s="1" t="s">
        <v>128</v>
      </c>
      <c r="F43" s="1" t="s">
        <v>142</v>
      </c>
      <c r="G43" s="1" t="s">
        <v>33</v>
      </c>
      <c r="H43" s="1" t="s">
        <v>145</v>
      </c>
      <c r="I43" s="1" t="s">
        <v>146</v>
      </c>
      <c r="J43" s="1"/>
      <c r="K43" s="1"/>
      <c r="L43" s="2">
        <f t="shared" si="0"/>
        <v>46083</v>
      </c>
      <c r="M43" s="1" t="str">
        <f t="shared" ca="1" si="1"/>
        <v>CERRADO</v>
      </c>
      <c r="N43" s="1" t="s">
        <v>23</v>
      </c>
    </row>
    <row r="44" spans="1:14">
      <c r="A44" s="1">
        <v>41</v>
      </c>
      <c r="B44" s="2">
        <v>46083</v>
      </c>
      <c r="C44" s="1" t="s">
        <v>16</v>
      </c>
      <c r="D44" s="1" t="s">
        <v>64</v>
      </c>
      <c r="E44" s="1" t="s">
        <v>128</v>
      </c>
      <c r="F44" s="1" t="s">
        <v>116</v>
      </c>
      <c r="G44" s="1" t="s">
        <v>147</v>
      </c>
      <c r="H44" s="1" t="s">
        <v>148</v>
      </c>
      <c r="I44" s="1" t="s">
        <v>149</v>
      </c>
      <c r="J44" s="1"/>
      <c r="K44" s="1"/>
      <c r="L44" s="2">
        <f t="shared" si="0"/>
        <v>46083</v>
      </c>
      <c r="M44" s="1" t="str">
        <f t="shared" ca="1" si="1"/>
        <v>CERRADO</v>
      </c>
      <c r="N44" s="1"/>
    </row>
    <row r="45" spans="1:14">
      <c r="A45" s="1">
        <v>42</v>
      </c>
      <c r="B45" s="2">
        <v>46083</v>
      </c>
      <c r="C45" s="1" t="s">
        <v>85</v>
      </c>
      <c r="D45" s="1" t="s">
        <v>150</v>
      </c>
      <c r="E45" s="1" t="s">
        <v>151</v>
      </c>
      <c r="F45" s="1" t="s">
        <v>120</v>
      </c>
      <c r="G45" s="1" t="s">
        <v>152</v>
      </c>
      <c r="H45" s="1" t="s">
        <v>153</v>
      </c>
      <c r="I45" s="1" t="s">
        <v>154</v>
      </c>
      <c r="J45" s="1"/>
      <c r="K45" s="1"/>
      <c r="L45" s="2">
        <f t="shared" si="0"/>
        <v>46083</v>
      </c>
      <c r="M45" s="1" t="str">
        <f t="shared" ca="1" si="1"/>
        <v>CERRADO</v>
      </c>
      <c r="N45" s="1"/>
    </row>
    <row r="46" spans="1:14">
      <c r="A46" s="1">
        <v>43</v>
      </c>
      <c r="B46" s="2">
        <v>46084</v>
      </c>
      <c r="C46" s="1" t="s">
        <v>85</v>
      </c>
      <c r="D46" s="1" t="s">
        <v>155</v>
      </c>
      <c r="E46" s="1" t="s">
        <v>128</v>
      </c>
      <c r="F46" s="1" t="s">
        <v>138</v>
      </c>
      <c r="G46" s="1" t="s">
        <v>33</v>
      </c>
      <c r="H46" s="1" t="s">
        <v>104</v>
      </c>
      <c r="I46" s="1" t="s">
        <v>156</v>
      </c>
      <c r="J46" s="1"/>
      <c r="K46" s="1"/>
      <c r="L46" s="2">
        <f t="shared" si="0"/>
        <v>46084</v>
      </c>
      <c r="M46" s="1" t="str">
        <f t="shared" ca="1" si="1"/>
        <v>CERRADO</v>
      </c>
      <c r="N46" s="1"/>
    </row>
    <row r="47" spans="1:14">
      <c r="A47" s="1">
        <v>44</v>
      </c>
      <c r="B47" s="2">
        <v>46084</v>
      </c>
      <c r="C47" s="1" t="s">
        <v>85</v>
      </c>
      <c r="D47" s="1" t="s">
        <v>157</v>
      </c>
      <c r="E47" s="1" t="s">
        <v>128</v>
      </c>
      <c r="F47" s="1" t="s">
        <v>138</v>
      </c>
      <c r="G47" s="1" t="s">
        <v>33</v>
      </c>
      <c r="H47" s="1" t="s">
        <v>158</v>
      </c>
      <c r="I47" s="1" t="s">
        <v>156</v>
      </c>
      <c r="J47" s="1"/>
      <c r="K47" s="1"/>
      <c r="L47" s="2">
        <f t="shared" si="0"/>
        <v>46084</v>
      </c>
      <c r="M47" s="1" t="str">
        <f t="shared" ca="1" si="1"/>
        <v>CERRADO</v>
      </c>
      <c r="N47" s="1"/>
    </row>
    <row r="48" spans="1:14">
      <c r="A48" s="1">
        <v>45</v>
      </c>
      <c r="B48" s="2">
        <v>46084</v>
      </c>
      <c r="C48" s="1" t="s">
        <v>85</v>
      </c>
      <c r="D48" s="1" t="s">
        <v>159</v>
      </c>
      <c r="E48" s="1" t="s">
        <v>128</v>
      </c>
      <c r="F48" s="1" t="s">
        <v>138</v>
      </c>
      <c r="G48" s="1" t="s">
        <v>33</v>
      </c>
      <c r="H48" s="1" t="s">
        <v>104</v>
      </c>
      <c r="I48" s="1" t="s">
        <v>160</v>
      </c>
      <c r="J48" s="1"/>
      <c r="K48" s="1"/>
      <c r="L48" s="2">
        <f t="shared" si="0"/>
        <v>46084</v>
      </c>
      <c r="M48" s="1" t="str">
        <f t="shared" ca="1" si="1"/>
        <v>CERRADO</v>
      </c>
      <c r="N48" s="1"/>
    </row>
    <row r="49" spans="1:14">
      <c r="A49" s="1">
        <v>46</v>
      </c>
      <c r="B49" s="2">
        <v>46084</v>
      </c>
      <c r="C49" s="1" t="s">
        <v>16</v>
      </c>
      <c r="D49" s="1" t="s">
        <v>161</v>
      </c>
      <c r="E49" s="1" t="s">
        <v>82</v>
      </c>
      <c r="F49" s="1" t="s">
        <v>108</v>
      </c>
      <c r="G49" s="1" t="s">
        <v>162</v>
      </c>
      <c r="H49" s="1" t="s">
        <v>163</v>
      </c>
      <c r="I49" s="1" t="s">
        <v>164</v>
      </c>
      <c r="J49" s="1"/>
      <c r="K49" s="1"/>
      <c r="L49" s="2">
        <f t="shared" si="0"/>
        <v>46084</v>
      </c>
      <c r="M49" s="1" t="str">
        <f t="shared" ca="1" si="1"/>
        <v>CERRADO</v>
      </c>
      <c r="N49" s="1"/>
    </row>
    <row r="50" spans="1:14">
      <c r="A50" s="1">
        <v>47</v>
      </c>
      <c r="B50" s="2">
        <v>46085</v>
      </c>
      <c r="C50" s="1" t="s">
        <v>165</v>
      </c>
      <c r="D50" s="1" t="s">
        <v>166</v>
      </c>
      <c r="E50" s="1" t="s">
        <v>167</v>
      </c>
      <c r="F50" s="1" t="s">
        <v>83</v>
      </c>
      <c r="G50" s="1" t="s">
        <v>121</v>
      </c>
      <c r="H50" s="1" t="s">
        <v>122</v>
      </c>
      <c r="I50" s="1" t="s">
        <v>168</v>
      </c>
      <c r="J50" s="1"/>
      <c r="K50" s="1"/>
      <c r="L50" s="2">
        <f t="shared" si="0"/>
        <v>46085</v>
      </c>
      <c r="M50" s="1" t="str">
        <f t="shared" ca="1" si="1"/>
        <v>CERRADO</v>
      </c>
      <c r="N50" s="1"/>
    </row>
    <row r="51" spans="1:14">
      <c r="A51" s="1">
        <v>48</v>
      </c>
      <c r="B51" s="2">
        <v>46085</v>
      </c>
      <c r="C51" s="1" t="s">
        <v>165</v>
      </c>
      <c r="D51" s="1" t="s">
        <v>169</v>
      </c>
      <c r="E51" s="1" t="s">
        <v>170</v>
      </c>
      <c r="F51" s="1" t="s">
        <v>171</v>
      </c>
      <c r="G51" s="1" t="s">
        <v>162</v>
      </c>
      <c r="H51" s="1" t="s">
        <v>172</v>
      </c>
      <c r="I51" s="1" t="s">
        <v>173</v>
      </c>
      <c r="J51" s="1"/>
      <c r="K51" s="1"/>
      <c r="L51" s="2">
        <f t="shared" si="0"/>
        <v>46085</v>
      </c>
      <c r="M51" s="1" t="str">
        <f t="shared" ca="1" si="1"/>
        <v>CERRADO</v>
      </c>
      <c r="N51" s="1"/>
    </row>
    <row r="52" spans="1:14">
      <c r="A52" s="1">
        <v>49</v>
      </c>
      <c r="B52" s="2">
        <v>46085</v>
      </c>
      <c r="C52" s="1" t="s">
        <v>16</v>
      </c>
      <c r="D52" s="1" t="s">
        <v>174</v>
      </c>
      <c r="E52" s="1" t="s">
        <v>175</v>
      </c>
      <c r="F52" s="1" t="s">
        <v>83</v>
      </c>
      <c r="G52" s="1" t="s">
        <v>88</v>
      </c>
      <c r="H52" s="1" t="s">
        <v>176</v>
      </c>
      <c r="I52" s="1" t="s">
        <v>177</v>
      </c>
      <c r="J52" s="1"/>
      <c r="K52" s="1"/>
      <c r="L52" s="2">
        <f t="shared" si="0"/>
        <v>46085</v>
      </c>
      <c r="M52" s="1" t="str">
        <f t="shared" ca="1" si="1"/>
        <v>CERRADO</v>
      </c>
      <c r="N52" s="1"/>
    </row>
    <row r="53" spans="1:14">
      <c r="A53" s="1">
        <v>50</v>
      </c>
      <c r="B53" s="2">
        <v>46085</v>
      </c>
      <c r="C53" s="1" t="s">
        <v>178</v>
      </c>
      <c r="D53" s="1" t="s">
        <v>179</v>
      </c>
      <c r="E53" s="1" t="s">
        <v>180</v>
      </c>
      <c r="F53" s="1" t="s">
        <v>83</v>
      </c>
      <c r="G53" s="1" t="s">
        <v>30</v>
      </c>
      <c r="H53" s="1" t="s">
        <v>31</v>
      </c>
      <c r="I53" s="1" t="s">
        <v>168</v>
      </c>
      <c r="J53" s="1"/>
      <c r="K53" s="1"/>
      <c r="L53" s="2">
        <f t="shared" si="0"/>
        <v>46085</v>
      </c>
      <c r="M53" s="1" t="str">
        <f t="shared" ca="1" si="1"/>
        <v>CERRADO</v>
      </c>
      <c r="N53" s="1"/>
    </row>
    <row r="54" spans="1:14">
      <c r="A54" s="1">
        <v>51</v>
      </c>
      <c r="B54" s="2">
        <v>46085</v>
      </c>
      <c r="C54" s="1" t="s">
        <v>165</v>
      </c>
      <c r="D54" s="1" t="s">
        <v>181</v>
      </c>
      <c r="E54" s="1" t="s">
        <v>182</v>
      </c>
      <c r="F54" s="1" t="s">
        <v>183</v>
      </c>
      <c r="G54" s="1" t="s">
        <v>147</v>
      </c>
      <c r="H54" s="1" t="s">
        <v>148</v>
      </c>
      <c r="I54" s="1" t="s">
        <v>184</v>
      </c>
      <c r="J54" s="1"/>
      <c r="K54" s="1"/>
      <c r="L54" s="2">
        <f t="shared" si="0"/>
        <v>46085</v>
      </c>
      <c r="M54" s="1" t="str">
        <f t="shared" ca="1" si="1"/>
        <v>CERRADO</v>
      </c>
      <c r="N54" s="1"/>
    </row>
    <row r="55" spans="1:14">
      <c r="A55" s="1">
        <v>52</v>
      </c>
      <c r="B55" s="2">
        <v>46085</v>
      </c>
      <c r="C55" s="1" t="s">
        <v>165</v>
      </c>
      <c r="D55" s="1" t="s">
        <v>185</v>
      </c>
      <c r="E55" s="1" t="s">
        <v>182</v>
      </c>
      <c r="F55" s="1" t="s">
        <v>116</v>
      </c>
      <c r="G55" s="1" t="s">
        <v>162</v>
      </c>
      <c r="H55" s="1" t="s">
        <v>186</v>
      </c>
      <c r="I55" s="1" t="s">
        <v>168</v>
      </c>
      <c r="J55" s="1"/>
      <c r="K55" s="1"/>
      <c r="L55" s="2">
        <f t="shared" si="0"/>
        <v>46085</v>
      </c>
      <c r="M55" s="1" t="str">
        <f t="shared" ca="1" si="1"/>
        <v>CERRADO</v>
      </c>
      <c r="N55" s="1"/>
    </row>
    <row r="56" spans="1:14">
      <c r="A56" s="1">
        <v>53</v>
      </c>
      <c r="B56" s="2">
        <v>46085</v>
      </c>
      <c r="C56" s="1" t="s">
        <v>165</v>
      </c>
      <c r="D56" s="1" t="s">
        <v>187</v>
      </c>
      <c r="E56" s="1" t="s">
        <v>188</v>
      </c>
      <c r="F56" s="1" t="s">
        <v>116</v>
      </c>
      <c r="G56" s="1" t="s">
        <v>30</v>
      </c>
      <c r="H56" s="1" t="s">
        <v>31</v>
      </c>
      <c r="I56" s="1" t="s">
        <v>168</v>
      </c>
      <c r="J56" s="1"/>
      <c r="K56" s="1"/>
      <c r="L56" s="2">
        <f t="shared" si="0"/>
        <v>46085</v>
      </c>
      <c r="M56" s="1" t="str">
        <f t="shared" ca="1" si="1"/>
        <v>CERRADO</v>
      </c>
      <c r="N56" s="1"/>
    </row>
    <row r="57" spans="1:14">
      <c r="A57" s="1">
        <v>54</v>
      </c>
      <c r="B57" s="2">
        <v>46085</v>
      </c>
      <c r="C57" s="1" t="s">
        <v>189</v>
      </c>
      <c r="D57" s="1" t="s">
        <v>190</v>
      </c>
      <c r="E57" s="1" t="s">
        <v>112</v>
      </c>
      <c r="F57" s="1" t="s">
        <v>116</v>
      </c>
      <c r="G57" s="1" t="s">
        <v>30</v>
      </c>
      <c r="H57" s="1" t="s">
        <v>31</v>
      </c>
      <c r="I57" s="1" t="s">
        <v>191</v>
      </c>
      <c r="J57" s="1"/>
      <c r="K57" s="1"/>
      <c r="L57" s="2">
        <f t="shared" si="0"/>
        <v>46085</v>
      </c>
      <c r="M57" s="1" t="str">
        <f t="shared" ca="1" si="1"/>
        <v>CERRADO</v>
      </c>
      <c r="N57" s="1"/>
    </row>
    <row r="58" spans="1:14">
      <c r="A58" s="1">
        <v>55</v>
      </c>
      <c r="B58" s="2">
        <v>46086</v>
      </c>
      <c r="C58" s="1" t="s">
        <v>192</v>
      </c>
      <c r="D58" s="1" t="s">
        <v>193</v>
      </c>
      <c r="E58" s="1" t="s">
        <v>119</v>
      </c>
      <c r="F58" s="1" t="s">
        <v>194</v>
      </c>
      <c r="G58" s="1" t="s">
        <v>121</v>
      </c>
      <c r="H58" s="1" t="s">
        <v>122</v>
      </c>
      <c r="I58" s="1" t="s">
        <v>195</v>
      </c>
      <c r="J58" s="1"/>
      <c r="K58" s="1"/>
      <c r="L58" s="2">
        <f t="shared" si="0"/>
        <v>46086</v>
      </c>
      <c r="M58" s="1" t="str">
        <f t="shared" ca="1" si="1"/>
        <v>CERRADO</v>
      </c>
      <c r="N58" s="1"/>
    </row>
    <row r="59" spans="1:14">
      <c r="A59" s="1">
        <v>56</v>
      </c>
      <c r="B59" s="2">
        <v>46086</v>
      </c>
      <c r="C59" s="1" t="s">
        <v>189</v>
      </c>
      <c r="D59" s="1" t="s">
        <v>196</v>
      </c>
      <c r="E59" s="1" t="s">
        <v>128</v>
      </c>
      <c r="F59" s="1" t="s">
        <v>197</v>
      </c>
      <c r="G59" s="1" t="s">
        <v>33</v>
      </c>
      <c r="H59" s="1" t="s">
        <v>198</v>
      </c>
      <c r="I59" s="1" t="s">
        <v>199</v>
      </c>
      <c r="J59" s="1"/>
      <c r="K59" s="1"/>
      <c r="L59" s="2">
        <f t="shared" si="0"/>
        <v>46086</v>
      </c>
      <c r="M59" s="1" t="str">
        <f t="shared" ca="1" si="1"/>
        <v>CERRADO</v>
      </c>
      <c r="N59" s="1"/>
    </row>
    <row r="60" spans="1:14">
      <c r="A60" s="1">
        <v>57</v>
      </c>
      <c r="B60" s="2">
        <v>46086</v>
      </c>
      <c r="C60" s="1" t="s">
        <v>16</v>
      </c>
      <c r="D60" s="1" t="s">
        <v>200</v>
      </c>
      <c r="E60" s="1" t="s">
        <v>128</v>
      </c>
      <c r="F60" s="1" t="s">
        <v>142</v>
      </c>
      <c r="G60" s="1" t="s">
        <v>33</v>
      </c>
      <c r="H60" s="1" t="s">
        <v>135</v>
      </c>
      <c r="I60" s="1" t="s">
        <v>201</v>
      </c>
      <c r="J60" s="1"/>
      <c r="K60" s="1"/>
      <c r="L60" s="2">
        <f t="shared" si="0"/>
        <v>46086</v>
      </c>
      <c r="M60" s="1" t="str">
        <f t="shared" ca="1" si="1"/>
        <v>CERRADO</v>
      </c>
      <c r="N60" s="1"/>
    </row>
    <row r="61" spans="1:14">
      <c r="A61" s="1">
        <v>58</v>
      </c>
      <c r="B61" s="2">
        <v>46086</v>
      </c>
      <c r="C61" s="1" t="s">
        <v>16</v>
      </c>
      <c r="D61" s="1" t="s">
        <v>202</v>
      </c>
      <c r="E61" s="1" t="s">
        <v>128</v>
      </c>
      <c r="F61" s="1" t="s">
        <v>171</v>
      </c>
      <c r="G61" s="1" t="s">
        <v>33</v>
      </c>
      <c r="H61" s="1" t="s">
        <v>203</v>
      </c>
      <c r="I61" s="1" t="s">
        <v>204</v>
      </c>
      <c r="J61" s="1"/>
      <c r="K61" s="1"/>
      <c r="L61" s="2">
        <f t="shared" si="0"/>
        <v>46086</v>
      </c>
      <c r="M61" s="1" t="str">
        <f t="shared" ca="1" si="1"/>
        <v>CERRADO</v>
      </c>
      <c r="N61" s="1"/>
    </row>
    <row r="62" spans="1:14">
      <c r="A62" s="1">
        <v>59</v>
      </c>
      <c r="B62" s="2">
        <v>46087</v>
      </c>
      <c r="C62" s="1" t="s">
        <v>16</v>
      </c>
      <c r="D62" s="1" t="s">
        <v>205</v>
      </c>
      <c r="E62" s="1" t="s">
        <v>119</v>
      </c>
      <c r="F62" s="1" t="s">
        <v>206</v>
      </c>
      <c r="G62" s="1" t="s">
        <v>121</v>
      </c>
      <c r="H62" s="1" t="s">
        <v>122</v>
      </c>
      <c r="I62" s="1" t="s">
        <v>168</v>
      </c>
      <c r="J62" s="1"/>
      <c r="K62" s="1"/>
      <c r="L62" s="2">
        <f t="shared" si="0"/>
        <v>46087</v>
      </c>
      <c r="M62" s="1" t="str">
        <f t="shared" ca="1" si="1"/>
        <v>CERRADO</v>
      </c>
      <c r="N62" s="1"/>
    </row>
    <row r="63" spans="1:14">
      <c r="A63" s="1">
        <v>60</v>
      </c>
      <c r="B63" s="2">
        <v>46087</v>
      </c>
      <c r="C63" s="1" t="s">
        <v>16</v>
      </c>
      <c r="D63" s="1" t="s">
        <v>207</v>
      </c>
      <c r="E63" s="1" t="s">
        <v>128</v>
      </c>
      <c r="F63" s="1" t="s">
        <v>208</v>
      </c>
      <c r="G63" s="1" t="s">
        <v>33</v>
      </c>
      <c r="H63" s="1" t="s">
        <v>209</v>
      </c>
      <c r="I63" s="1" t="s">
        <v>210</v>
      </c>
      <c r="J63" s="1"/>
      <c r="K63" s="1"/>
      <c r="L63" s="2">
        <f t="shared" si="0"/>
        <v>46087</v>
      </c>
      <c r="M63" s="1" t="str">
        <f t="shared" ca="1" si="1"/>
        <v>CERRADO</v>
      </c>
      <c r="N63" s="1"/>
    </row>
    <row r="64" spans="1:14">
      <c r="A64" s="1">
        <v>61</v>
      </c>
      <c r="B64" s="2">
        <v>46087</v>
      </c>
      <c r="C64" s="1" t="s">
        <v>16</v>
      </c>
      <c r="D64" s="1" t="s">
        <v>211</v>
      </c>
      <c r="E64" s="1" t="s">
        <v>128</v>
      </c>
      <c r="F64" s="1" t="s">
        <v>212</v>
      </c>
      <c r="G64" s="1" t="s">
        <v>147</v>
      </c>
      <c r="H64" s="1" t="s">
        <v>186</v>
      </c>
      <c r="I64" s="1" t="s">
        <v>213</v>
      </c>
      <c r="J64" s="1"/>
      <c r="K64" s="1"/>
      <c r="L64" s="2">
        <f t="shared" si="0"/>
        <v>46087</v>
      </c>
      <c r="M64" s="1" t="str">
        <f t="shared" ca="1" si="1"/>
        <v>CERRADO</v>
      </c>
      <c r="N64" s="1"/>
    </row>
    <row r="65" spans="1:14">
      <c r="A65" s="1">
        <v>62</v>
      </c>
      <c r="B65" s="2">
        <v>46091</v>
      </c>
      <c r="C65" s="1" t="s">
        <v>16</v>
      </c>
      <c r="D65" s="1" t="s">
        <v>214</v>
      </c>
      <c r="E65" s="1" t="s">
        <v>119</v>
      </c>
      <c r="F65" s="1" t="s">
        <v>212</v>
      </c>
      <c r="G65" s="1" t="s">
        <v>121</v>
      </c>
      <c r="H65" s="1" t="s">
        <v>122</v>
      </c>
      <c r="I65" s="1" t="s">
        <v>215</v>
      </c>
      <c r="J65" s="1"/>
      <c r="K65" s="1"/>
      <c r="L65" s="2">
        <f t="shared" si="0"/>
        <v>46091</v>
      </c>
      <c r="M65" s="1" t="str">
        <f t="shared" ca="1" si="1"/>
        <v>CERRADO</v>
      </c>
      <c r="N65" s="1"/>
    </row>
    <row r="66" spans="1:14">
      <c r="A66" s="1">
        <v>63</v>
      </c>
      <c r="B66" s="2">
        <v>46091</v>
      </c>
      <c r="C66" s="1" t="s">
        <v>16</v>
      </c>
      <c r="D66" s="1" t="s">
        <v>216</v>
      </c>
      <c r="E66" s="1" t="s">
        <v>128</v>
      </c>
      <c r="F66" s="1" t="s">
        <v>217</v>
      </c>
      <c r="G66" s="1" t="s">
        <v>147</v>
      </c>
      <c r="H66" s="1" t="s">
        <v>218</v>
      </c>
      <c r="I66" s="1" t="s">
        <v>219</v>
      </c>
      <c r="J66" s="1"/>
      <c r="K66" s="1"/>
      <c r="L66" s="2">
        <f t="shared" si="0"/>
        <v>46091</v>
      </c>
      <c r="M66" s="1" t="str">
        <f t="shared" ca="1" si="1"/>
        <v>CERRADO</v>
      </c>
      <c r="N66" s="1"/>
    </row>
    <row r="67" spans="1:14">
      <c r="A67" s="1">
        <v>64</v>
      </c>
      <c r="B67" s="2">
        <v>46091</v>
      </c>
      <c r="C67" s="1" t="s">
        <v>16</v>
      </c>
      <c r="D67" s="1" t="s">
        <v>220</v>
      </c>
      <c r="E67" s="1" t="s">
        <v>221</v>
      </c>
      <c r="F67" s="1" t="s">
        <v>222</v>
      </c>
      <c r="G67" s="1" t="s">
        <v>147</v>
      </c>
      <c r="H67" s="1" t="s">
        <v>223</v>
      </c>
      <c r="I67" s="1" t="s">
        <v>224</v>
      </c>
      <c r="J67" s="1"/>
      <c r="K67" s="1"/>
      <c r="L67" s="2">
        <f t="shared" si="0"/>
        <v>46091</v>
      </c>
      <c r="M67" s="1" t="str">
        <f t="shared" ca="1" si="1"/>
        <v>CERRADO</v>
      </c>
      <c r="N67" s="1"/>
    </row>
    <row r="68" spans="1:14">
      <c r="A68" s="1">
        <v>65</v>
      </c>
      <c r="B68" s="2">
        <v>46091</v>
      </c>
      <c r="C68" s="1" t="s">
        <v>165</v>
      </c>
      <c r="D68" s="1" t="s">
        <v>225</v>
      </c>
      <c r="E68" s="1" t="s">
        <v>119</v>
      </c>
      <c r="F68" s="1" t="s">
        <v>83</v>
      </c>
      <c r="G68" s="1" t="s">
        <v>121</v>
      </c>
      <c r="H68" s="1" t="s">
        <v>122</v>
      </c>
      <c r="I68" s="1" t="s">
        <v>226</v>
      </c>
      <c r="J68" s="1"/>
      <c r="K68" s="1"/>
      <c r="L68" s="2">
        <f t="shared" si="0"/>
        <v>46091</v>
      </c>
      <c r="M68" s="1" t="str">
        <f t="shared" ca="1" si="1"/>
        <v>CERRADO</v>
      </c>
      <c r="N68" s="1"/>
    </row>
    <row r="69" spans="1:14">
      <c r="A69" s="1">
        <v>66</v>
      </c>
      <c r="B69" s="2">
        <v>46091</v>
      </c>
      <c r="C69" s="1" t="s">
        <v>16</v>
      </c>
      <c r="D69" s="1" t="s">
        <v>227</v>
      </c>
      <c r="E69" s="1" t="s">
        <v>128</v>
      </c>
      <c r="F69" s="1" t="s">
        <v>228</v>
      </c>
      <c r="G69" s="1" t="s">
        <v>33</v>
      </c>
      <c r="H69" s="1" t="s">
        <v>135</v>
      </c>
      <c r="I69" s="1" t="s">
        <v>201</v>
      </c>
      <c r="J69" s="1"/>
      <c r="K69" s="1"/>
      <c r="L69" s="2">
        <f t="shared" ref="L69:L77" si="2">B69</f>
        <v>46091</v>
      </c>
      <c r="M69" s="1" t="str">
        <f t="shared" ref="M69:M77" ca="1" si="3">IF(L69&lt;TODAY(),"CERRADO","ABIERTO")</f>
        <v>CERRADO</v>
      </c>
      <c r="N69" s="1"/>
    </row>
    <row r="70" spans="1:14">
      <c r="A70" s="1">
        <v>67</v>
      </c>
      <c r="B70" s="2">
        <v>46091</v>
      </c>
      <c r="C70" s="1" t="s">
        <v>16</v>
      </c>
      <c r="D70" s="1" t="s">
        <v>229</v>
      </c>
      <c r="E70" s="1" t="s">
        <v>119</v>
      </c>
      <c r="F70" s="1" t="s">
        <v>230</v>
      </c>
      <c r="G70" s="1" t="s">
        <v>121</v>
      </c>
      <c r="H70" s="1" t="s">
        <v>122</v>
      </c>
      <c r="I70" s="1" t="s">
        <v>195</v>
      </c>
      <c r="J70" s="1"/>
      <c r="K70" s="1"/>
      <c r="L70" s="2">
        <f t="shared" si="2"/>
        <v>46091</v>
      </c>
      <c r="M70" s="1" t="str">
        <f t="shared" ca="1" si="3"/>
        <v>CERRADO</v>
      </c>
      <c r="N70" s="1"/>
    </row>
    <row r="71" spans="1:14">
      <c r="A71" s="1">
        <v>68</v>
      </c>
      <c r="B71" s="2">
        <v>46091</v>
      </c>
      <c r="C71" s="1" t="s">
        <v>165</v>
      </c>
      <c r="D71" s="1" t="s">
        <v>64</v>
      </c>
      <c r="E71" s="1" t="s">
        <v>119</v>
      </c>
      <c r="F71" s="1" t="s">
        <v>116</v>
      </c>
      <c r="G71" s="1" t="s">
        <v>121</v>
      </c>
      <c r="H71" s="1" t="s">
        <v>122</v>
      </c>
      <c r="I71" s="1" t="s">
        <v>231</v>
      </c>
      <c r="J71" s="1"/>
      <c r="K71" s="1"/>
      <c r="L71" s="2">
        <f t="shared" si="2"/>
        <v>46091</v>
      </c>
      <c r="M71" s="1" t="str">
        <f t="shared" ca="1" si="3"/>
        <v>CERRADO</v>
      </c>
      <c r="N71" s="1"/>
    </row>
    <row r="72" spans="1:14">
      <c r="A72" s="1">
        <v>69</v>
      </c>
      <c r="B72" s="2">
        <v>46091</v>
      </c>
      <c r="C72" s="1" t="s">
        <v>16</v>
      </c>
      <c r="D72" s="1" t="s">
        <v>207</v>
      </c>
      <c r="E72" s="1" t="s">
        <v>232</v>
      </c>
      <c r="F72" s="1" t="s">
        <v>233</v>
      </c>
      <c r="G72" s="1" t="s">
        <v>33</v>
      </c>
      <c r="H72" s="1" t="s">
        <v>234</v>
      </c>
      <c r="I72" s="1" t="s">
        <v>235</v>
      </c>
      <c r="J72" s="1"/>
      <c r="K72" s="1"/>
      <c r="L72" s="2">
        <f t="shared" si="2"/>
        <v>46091</v>
      </c>
      <c r="M72" s="1" t="str">
        <f t="shared" ca="1" si="3"/>
        <v>CERRADO</v>
      </c>
      <c r="N72" s="1"/>
    </row>
    <row r="73" spans="1:14">
      <c r="A73" s="1">
        <v>70</v>
      </c>
      <c r="B73" s="2">
        <v>46092</v>
      </c>
      <c r="C73" s="1" t="s">
        <v>16</v>
      </c>
      <c r="D73" s="1" t="s">
        <v>236</v>
      </c>
      <c r="E73" s="1" t="s">
        <v>119</v>
      </c>
      <c r="F73" s="1" t="s">
        <v>233</v>
      </c>
      <c r="G73" s="1" t="s">
        <v>121</v>
      </c>
      <c r="H73" s="1" t="s">
        <v>122</v>
      </c>
      <c r="I73" s="1" t="s">
        <v>237</v>
      </c>
      <c r="J73" s="1"/>
      <c r="K73" s="1"/>
      <c r="L73" s="2">
        <f t="shared" si="2"/>
        <v>46092</v>
      </c>
      <c r="M73" s="1" t="str">
        <f t="shared" ca="1" si="3"/>
        <v>CERRADO</v>
      </c>
      <c r="N73" s="1"/>
    </row>
    <row r="74" spans="1:14">
      <c r="A74" s="1">
        <v>71</v>
      </c>
      <c r="B74" s="2">
        <v>46092</v>
      </c>
      <c r="C74" s="1" t="s">
        <v>132</v>
      </c>
      <c r="D74" s="1" t="s">
        <v>238</v>
      </c>
      <c r="E74" s="1" t="s">
        <v>128</v>
      </c>
      <c r="F74" s="1" t="s">
        <v>239</v>
      </c>
      <c r="G74" s="1" t="s">
        <v>33</v>
      </c>
      <c r="H74" s="1" t="s">
        <v>135</v>
      </c>
      <c r="I74" s="1" t="s">
        <v>240</v>
      </c>
      <c r="J74" s="1"/>
      <c r="K74" s="1"/>
      <c r="L74" s="2">
        <f t="shared" si="2"/>
        <v>46092</v>
      </c>
      <c r="M74" s="1" t="str">
        <f t="shared" ca="1" si="3"/>
        <v>CERRADO</v>
      </c>
      <c r="N74" s="1"/>
    </row>
    <row r="75" spans="1:14">
      <c r="A75" s="1">
        <v>72</v>
      </c>
      <c r="B75" s="2">
        <v>46092</v>
      </c>
      <c r="C75" s="1" t="s">
        <v>16</v>
      </c>
      <c r="D75" s="1" t="s">
        <v>241</v>
      </c>
      <c r="E75" s="1" t="s">
        <v>128</v>
      </c>
      <c r="F75" s="1" t="s">
        <v>183</v>
      </c>
      <c r="G75" s="1" t="s">
        <v>33</v>
      </c>
      <c r="H75" s="1" t="s">
        <v>135</v>
      </c>
      <c r="I75" s="1" t="s">
        <v>242</v>
      </c>
      <c r="J75" s="1"/>
      <c r="K75" s="1"/>
      <c r="L75" s="2">
        <f t="shared" si="2"/>
        <v>46092</v>
      </c>
      <c r="M75" s="1" t="str">
        <f t="shared" ca="1" si="3"/>
        <v>CERRADO</v>
      </c>
      <c r="N75" s="1"/>
    </row>
    <row r="76" spans="1:14">
      <c r="A76" s="1">
        <v>73</v>
      </c>
      <c r="B76" s="2">
        <v>46092</v>
      </c>
      <c r="C76" s="1" t="s">
        <v>16</v>
      </c>
      <c r="D76" s="1" t="s">
        <v>243</v>
      </c>
      <c r="E76" s="1" t="s">
        <v>221</v>
      </c>
      <c r="F76" s="1" t="s">
        <v>222</v>
      </c>
      <c r="G76" s="1" t="s">
        <v>147</v>
      </c>
      <c r="H76" s="1" t="s">
        <v>244</v>
      </c>
      <c r="I76" s="1" t="s">
        <v>245</v>
      </c>
      <c r="J76" s="1"/>
      <c r="K76" s="1"/>
      <c r="L76" s="2">
        <f t="shared" si="2"/>
        <v>46092</v>
      </c>
      <c r="M76" s="1" t="str">
        <f t="shared" ca="1" si="3"/>
        <v>CERRADO</v>
      </c>
      <c r="N76" s="1"/>
    </row>
    <row r="77" spans="1:14">
      <c r="A77" s="1">
        <v>74</v>
      </c>
      <c r="B77" s="2">
        <v>46093</v>
      </c>
      <c r="C77" s="1" t="s">
        <v>16</v>
      </c>
      <c r="D77" s="1" t="s">
        <v>246</v>
      </c>
      <c r="E77" s="1" t="s">
        <v>247</v>
      </c>
      <c r="F77" s="1" t="s">
        <v>248</v>
      </c>
      <c r="G77" s="1" t="s">
        <v>121</v>
      </c>
      <c r="H77" s="1" t="s">
        <v>122</v>
      </c>
      <c r="I77" s="1" t="s">
        <v>249</v>
      </c>
      <c r="J77" s="1"/>
      <c r="K77" s="1"/>
      <c r="L77" s="2">
        <f t="shared" si="2"/>
        <v>46093</v>
      </c>
      <c r="M77" s="1" t="str">
        <f t="shared" ca="1" si="3"/>
        <v>CERRADO</v>
      </c>
      <c r="N77" s="1"/>
    </row>
    <row r="78" spans="1:14" ht="43.2">
      <c r="A78" s="37">
        <v>75</v>
      </c>
      <c r="B78" s="38">
        <v>46093</v>
      </c>
      <c r="C78" s="37" t="s">
        <v>16</v>
      </c>
      <c r="D78" s="37" t="s">
        <v>250</v>
      </c>
      <c r="E78" s="37" t="s">
        <v>152</v>
      </c>
      <c r="F78" s="37" t="s">
        <v>116</v>
      </c>
      <c r="G78" s="37" t="s">
        <v>152</v>
      </c>
      <c r="H78" s="37" t="s">
        <v>251</v>
      </c>
      <c r="I78" s="37" t="s">
        <v>252</v>
      </c>
      <c r="J78" s="37"/>
      <c r="K78" s="39">
        <v>46248</v>
      </c>
      <c r="L78" s="39"/>
      <c r="M78" s="40" t="str">
        <f ca="1">IF(L78&lt;&gt;"","CERRADO",IF(K78&gt;TODAY(),"EN PROCESO",IF(L78="","ABIERTO")))</f>
        <v>EN PROCESO</v>
      </c>
      <c r="N78" s="41"/>
    </row>
    <row r="79" spans="1:14">
      <c r="A79" s="1">
        <v>76</v>
      </c>
      <c r="B79" s="2">
        <v>46093</v>
      </c>
      <c r="C79" s="1" t="s">
        <v>253</v>
      </c>
      <c r="D79" s="1" t="s">
        <v>254</v>
      </c>
      <c r="E79" s="1" t="s">
        <v>128</v>
      </c>
      <c r="F79" s="1" t="s">
        <v>255</v>
      </c>
      <c r="G79" s="1" t="s">
        <v>33</v>
      </c>
      <c r="H79" s="1" t="s">
        <v>256</v>
      </c>
      <c r="I79" s="1" t="s">
        <v>257</v>
      </c>
      <c r="J79" s="1"/>
      <c r="K79" s="1"/>
      <c r="L79" s="2">
        <f t="shared" ref="L79:L84" si="4">B79+5</f>
        <v>46098</v>
      </c>
      <c r="M79" s="1" t="str">
        <f t="shared" ref="M79:M84" ca="1" si="5">IF(L79&lt;TODAY(),"CERRADO","ABIERTO")</f>
        <v>CERRADO</v>
      </c>
      <c r="N79" s="1"/>
    </row>
    <row r="80" spans="1:14">
      <c r="A80" s="1">
        <v>77</v>
      </c>
      <c r="B80" s="2">
        <v>46093</v>
      </c>
      <c r="C80" s="1" t="s">
        <v>49</v>
      </c>
      <c r="D80" s="1" t="s">
        <v>258</v>
      </c>
      <c r="E80" s="1" t="s">
        <v>188</v>
      </c>
      <c r="F80" s="1" t="s">
        <v>259</v>
      </c>
      <c r="G80" s="1" t="s">
        <v>30</v>
      </c>
      <c r="H80" s="1" t="s">
        <v>31</v>
      </c>
      <c r="I80" s="1" t="s">
        <v>260</v>
      </c>
      <c r="J80" s="1"/>
      <c r="K80" s="1"/>
      <c r="L80" s="2">
        <f t="shared" si="4"/>
        <v>46098</v>
      </c>
      <c r="M80" s="1" t="str">
        <f t="shared" ca="1" si="5"/>
        <v>CERRADO</v>
      </c>
      <c r="N80" s="1"/>
    </row>
    <row r="81" spans="1:14">
      <c r="A81" s="1">
        <v>78</v>
      </c>
      <c r="B81" s="2">
        <v>46093</v>
      </c>
      <c r="C81" s="1" t="s">
        <v>49</v>
      </c>
      <c r="D81" s="1" t="s">
        <v>261</v>
      </c>
      <c r="E81" s="1" t="s">
        <v>128</v>
      </c>
      <c r="F81" s="1" t="s">
        <v>259</v>
      </c>
      <c r="G81" s="1" t="s">
        <v>33</v>
      </c>
      <c r="H81" s="1" t="s">
        <v>256</v>
      </c>
      <c r="I81" s="1" t="s">
        <v>262</v>
      </c>
      <c r="J81" s="1"/>
      <c r="K81" s="1"/>
      <c r="L81" s="2">
        <f t="shared" si="4"/>
        <v>46098</v>
      </c>
      <c r="M81" s="1" t="str">
        <f t="shared" ca="1" si="5"/>
        <v>CERRADO</v>
      </c>
      <c r="N81" s="1"/>
    </row>
    <row r="82" spans="1:14">
      <c r="A82" s="1">
        <v>79</v>
      </c>
      <c r="B82" s="2">
        <v>46093</v>
      </c>
      <c r="C82" s="1" t="s">
        <v>16</v>
      </c>
      <c r="D82" s="1" t="s">
        <v>263</v>
      </c>
      <c r="E82" s="1" t="s">
        <v>128</v>
      </c>
      <c r="F82" s="1" t="s">
        <v>264</v>
      </c>
      <c r="G82" s="1" t="s">
        <v>33</v>
      </c>
      <c r="H82" s="1" t="s">
        <v>256</v>
      </c>
      <c r="I82" s="1" t="s">
        <v>265</v>
      </c>
      <c r="J82" s="1"/>
      <c r="K82" s="1"/>
      <c r="L82" s="2">
        <f t="shared" si="4"/>
        <v>46098</v>
      </c>
      <c r="M82" s="1" t="str">
        <f t="shared" ca="1" si="5"/>
        <v>CERRADO</v>
      </c>
      <c r="N82" s="1"/>
    </row>
    <row r="83" spans="1:14">
      <c r="A83" s="1">
        <v>80</v>
      </c>
      <c r="B83" s="2">
        <v>46093</v>
      </c>
      <c r="C83" s="1" t="s">
        <v>16</v>
      </c>
      <c r="D83" s="1" t="s">
        <v>266</v>
      </c>
      <c r="E83" s="1" t="s">
        <v>267</v>
      </c>
      <c r="F83" s="1" t="s">
        <v>268</v>
      </c>
      <c r="G83" s="1" t="s">
        <v>33</v>
      </c>
      <c r="H83" s="1" t="s">
        <v>256</v>
      </c>
      <c r="I83" s="1" t="s">
        <v>269</v>
      </c>
      <c r="J83" s="1"/>
      <c r="K83" s="1"/>
      <c r="L83" s="2">
        <f t="shared" si="4"/>
        <v>46098</v>
      </c>
      <c r="M83" s="1" t="str">
        <f t="shared" ca="1" si="5"/>
        <v>CERRADO</v>
      </c>
      <c r="N83" s="1"/>
    </row>
    <row r="84" spans="1:14">
      <c r="A84" s="1">
        <v>81</v>
      </c>
      <c r="B84" s="2">
        <v>46097</v>
      </c>
      <c r="C84" s="1" t="s">
        <v>16</v>
      </c>
      <c r="D84" s="1" t="s">
        <v>270</v>
      </c>
      <c r="E84" s="1" t="s">
        <v>271</v>
      </c>
      <c r="F84" s="1" t="s">
        <v>272</v>
      </c>
      <c r="G84" s="1" t="s">
        <v>273</v>
      </c>
      <c r="H84" s="1" t="s">
        <v>273</v>
      </c>
      <c r="I84" s="1" t="s">
        <v>274</v>
      </c>
      <c r="J84" s="1"/>
      <c r="K84" s="1"/>
      <c r="L84" s="2">
        <f t="shared" si="4"/>
        <v>46102</v>
      </c>
      <c r="M84" s="1" t="str">
        <f t="shared" ca="1" si="5"/>
        <v>CERRADO</v>
      </c>
      <c r="N84" s="1"/>
    </row>
    <row r="85" spans="1:14">
      <c r="A85" s="37">
        <v>82</v>
      </c>
      <c r="B85" s="38">
        <v>46094</v>
      </c>
      <c r="C85" s="37" t="s">
        <v>16</v>
      </c>
      <c r="D85" s="37" t="s">
        <v>275</v>
      </c>
      <c r="E85" s="37" t="s">
        <v>182</v>
      </c>
      <c r="F85" s="37" t="s">
        <v>276</v>
      </c>
      <c r="G85" s="37" t="s">
        <v>147</v>
      </c>
      <c r="H85" s="37" t="s">
        <v>148</v>
      </c>
      <c r="I85" s="37" t="s">
        <v>277</v>
      </c>
      <c r="J85" s="37"/>
      <c r="K85" s="38"/>
      <c r="L85" s="38"/>
      <c r="M85" s="40" t="str">
        <f ca="1">IF(L85&lt;&gt;"","CERRADO",IF(K85&gt;TODAY(),"EN PROCESO",IF(L85="","ABIERTO")))</f>
        <v>ABIERTO</v>
      </c>
      <c r="N85" s="37"/>
    </row>
    <row r="86" spans="1:14">
      <c r="A86" s="1">
        <v>83</v>
      </c>
      <c r="B86" s="2">
        <v>46097</v>
      </c>
      <c r="C86" s="1" t="s">
        <v>16</v>
      </c>
      <c r="D86" s="1" t="s">
        <v>278</v>
      </c>
      <c r="E86" s="1" t="s">
        <v>128</v>
      </c>
      <c r="F86" s="1" t="s">
        <v>279</v>
      </c>
      <c r="G86" s="1" t="s">
        <v>33</v>
      </c>
      <c r="H86" s="1" t="s">
        <v>256</v>
      </c>
      <c r="I86" s="1" t="s">
        <v>280</v>
      </c>
      <c r="J86" s="1"/>
      <c r="K86" s="1"/>
      <c r="L86" s="2">
        <f t="shared" ref="L86:L111" si="6">B86+5</f>
        <v>46102</v>
      </c>
      <c r="M86" s="1" t="str">
        <f t="shared" ref="M86:M111" ca="1" si="7">IF(L86&lt;TODAY(),"CERRADO","ABIERTO")</f>
        <v>CERRADO</v>
      </c>
      <c r="N86" s="1"/>
    </row>
    <row r="87" spans="1:14">
      <c r="A87" s="1">
        <v>84</v>
      </c>
      <c r="B87" s="2">
        <v>46097</v>
      </c>
      <c r="C87" s="1" t="s">
        <v>16</v>
      </c>
      <c r="D87" s="1" t="s">
        <v>281</v>
      </c>
      <c r="E87" s="1" t="s">
        <v>267</v>
      </c>
      <c r="F87" s="1" t="s">
        <v>282</v>
      </c>
      <c r="G87" s="1" t="s">
        <v>33</v>
      </c>
      <c r="H87" s="1" t="s">
        <v>209</v>
      </c>
      <c r="I87" s="1" t="s">
        <v>283</v>
      </c>
      <c r="J87" s="1"/>
      <c r="K87" s="1"/>
      <c r="L87" s="2">
        <f t="shared" si="6"/>
        <v>46102</v>
      </c>
      <c r="M87" s="1" t="str">
        <f t="shared" ca="1" si="7"/>
        <v>CERRADO</v>
      </c>
      <c r="N87" s="1"/>
    </row>
    <row r="88" spans="1:14">
      <c r="A88" s="1">
        <v>85</v>
      </c>
      <c r="B88" s="2">
        <v>46097</v>
      </c>
      <c r="C88" s="1" t="s">
        <v>16</v>
      </c>
      <c r="D88" s="1" t="s">
        <v>64</v>
      </c>
      <c r="E88" s="1" t="s">
        <v>267</v>
      </c>
      <c r="F88" s="1" t="s">
        <v>284</v>
      </c>
      <c r="G88" s="1" t="s">
        <v>33</v>
      </c>
      <c r="H88" s="1" t="s">
        <v>135</v>
      </c>
      <c r="I88" s="1" t="s">
        <v>285</v>
      </c>
      <c r="J88" s="1"/>
      <c r="K88" s="1"/>
      <c r="L88" s="2">
        <f t="shared" si="6"/>
        <v>46102</v>
      </c>
      <c r="M88" s="1" t="str">
        <f t="shared" ca="1" si="7"/>
        <v>CERRADO</v>
      </c>
      <c r="N88" s="1"/>
    </row>
    <row r="89" spans="1:14">
      <c r="A89" s="1">
        <v>86</v>
      </c>
      <c r="B89" s="2">
        <v>46097</v>
      </c>
      <c r="C89" s="1" t="s">
        <v>16</v>
      </c>
      <c r="D89" s="1" t="s">
        <v>286</v>
      </c>
      <c r="E89" s="1" t="s">
        <v>287</v>
      </c>
      <c r="F89" s="1" t="s">
        <v>116</v>
      </c>
      <c r="G89" s="1" t="s">
        <v>33</v>
      </c>
      <c r="H89" s="1" t="s">
        <v>288</v>
      </c>
      <c r="I89" s="1" t="s">
        <v>289</v>
      </c>
      <c r="J89" s="1"/>
      <c r="K89" s="1"/>
      <c r="L89" s="2">
        <f t="shared" si="6"/>
        <v>46102</v>
      </c>
      <c r="M89" s="1" t="str">
        <f t="shared" ca="1" si="7"/>
        <v>CERRADO</v>
      </c>
      <c r="N89" s="1"/>
    </row>
    <row r="90" spans="1:14">
      <c r="A90" s="1">
        <v>87</v>
      </c>
      <c r="B90" s="2">
        <v>46097</v>
      </c>
      <c r="C90" s="1" t="s">
        <v>290</v>
      </c>
      <c r="D90" s="1" t="s">
        <v>207</v>
      </c>
      <c r="E90" s="1" t="s">
        <v>291</v>
      </c>
      <c r="F90" s="1" t="s">
        <v>83</v>
      </c>
      <c r="G90" s="1" t="s">
        <v>121</v>
      </c>
      <c r="H90" s="1" t="s">
        <v>122</v>
      </c>
      <c r="I90" s="1" t="s">
        <v>292</v>
      </c>
      <c r="J90" s="1"/>
      <c r="K90" s="1"/>
      <c r="L90" s="2">
        <f t="shared" si="6"/>
        <v>46102</v>
      </c>
      <c r="M90" s="1" t="str">
        <f t="shared" ca="1" si="7"/>
        <v>CERRADO</v>
      </c>
      <c r="N90" s="1"/>
    </row>
    <row r="91" spans="1:14">
      <c r="A91" s="1">
        <v>88</v>
      </c>
      <c r="B91" s="2">
        <v>46097</v>
      </c>
      <c r="C91" s="1" t="s">
        <v>290</v>
      </c>
      <c r="D91" s="1" t="s">
        <v>293</v>
      </c>
      <c r="E91" s="1" t="s">
        <v>294</v>
      </c>
      <c r="F91" s="1" t="s">
        <v>295</v>
      </c>
      <c r="G91" s="1" t="s">
        <v>33</v>
      </c>
      <c r="H91" s="1" t="s">
        <v>288</v>
      </c>
      <c r="I91" s="1" t="s">
        <v>296</v>
      </c>
      <c r="J91" s="1"/>
      <c r="K91" s="1"/>
      <c r="L91" s="2">
        <f t="shared" si="6"/>
        <v>46102</v>
      </c>
      <c r="M91" s="1" t="str">
        <f t="shared" ca="1" si="7"/>
        <v>CERRADO</v>
      </c>
      <c r="N91" s="1"/>
    </row>
    <row r="92" spans="1:14">
      <c r="A92" s="1">
        <v>89</v>
      </c>
      <c r="B92" s="2">
        <v>46097</v>
      </c>
      <c r="C92" s="1" t="s">
        <v>290</v>
      </c>
      <c r="D92" s="1" t="s">
        <v>297</v>
      </c>
      <c r="E92" s="1" t="s">
        <v>298</v>
      </c>
      <c r="F92" s="1" t="s">
        <v>299</v>
      </c>
      <c r="G92" s="1" t="s">
        <v>147</v>
      </c>
      <c r="H92" s="1" t="s">
        <v>148</v>
      </c>
      <c r="I92" s="1" t="s">
        <v>300</v>
      </c>
      <c r="J92" s="1"/>
      <c r="K92" s="1"/>
      <c r="L92" s="2">
        <f t="shared" si="6"/>
        <v>46102</v>
      </c>
      <c r="M92" s="1" t="str">
        <f t="shared" ca="1" si="7"/>
        <v>CERRADO</v>
      </c>
      <c r="N92" s="1"/>
    </row>
    <row r="93" spans="1:14">
      <c r="A93" s="1">
        <v>90</v>
      </c>
      <c r="B93" s="2">
        <v>46098</v>
      </c>
      <c r="C93" s="1" t="s">
        <v>290</v>
      </c>
      <c r="D93" s="1" t="s">
        <v>301</v>
      </c>
      <c r="E93" s="1" t="s">
        <v>221</v>
      </c>
      <c r="F93" s="1" t="s">
        <v>302</v>
      </c>
      <c r="G93" s="1" t="s">
        <v>147</v>
      </c>
      <c r="H93" s="1" t="s">
        <v>148</v>
      </c>
      <c r="I93" s="1" t="s">
        <v>303</v>
      </c>
      <c r="J93" s="1"/>
      <c r="K93" s="1"/>
      <c r="L93" s="2">
        <f t="shared" si="6"/>
        <v>46103</v>
      </c>
      <c r="M93" s="1" t="str">
        <f t="shared" ca="1" si="7"/>
        <v>CERRADO</v>
      </c>
      <c r="N93" s="1"/>
    </row>
    <row r="94" spans="1:14">
      <c r="A94" s="1">
        <v>91</v>
      </c>
      <c r="B94" s="2">
        <v>46099</v>
      </c>
      <c r="C94" s="1" t="s">
        <v>189</v>
      </c>
      <c r="D94" s="1" t="s">
        <v>304</v>
      </c>
      <c r="E94" s="1" t="s">
        <v>305</v>
      </c>
      <c r="F94" s="1" t="s">
        <v>306</v>
      </c>
      <c r="G94" s="1" t="s">
        <v>162</v>
      </c>
      <c r="H94" s="1" t="s">
        <v>307</v>
      </c>
      <c r="I94" s="1" t="s">
        <v>308</v>
      </c>
      <c r="J94" s="1"/>
      <c r="K94" s="1"/>
      <c r="L94" s="2">
        <f t="shared" si="6"/>
        <v>46104</v>
      </c>
      <c r="M94" s="1" t="str">
        <f t="shared" ca="1" si="7"/>
        <v>CERRADO</v>
      </c>
      <c r="N94" s="1"/>
    </row>
    <row r="95" spans="1:14">
      <c r="A95" s="1">
        <v>92</v>
      </c>
      <c r="B95" s="2">
        <v>46100</v>
      </c>
      <c r="C95" s="1" t="s">
        <v>16</v>
      </c>
      <c r="D95" s="1" t="s">
        <v>309</v>
      </c>
      <c r="E95" s="1" t="s">
        <v>188</v>
      </c>
      <c r="F95" s="1" t="s">
        <v>310</v>
      </c>
      <c r="G95" s="1" t="s">
        <v>30</v>
      </c>
      <c r="H95" s="1" t="s">
        <v>311</v>
      </c>
      <c r="I95" s="1" t="s">
        <v>312</v>
      </c>
      <c r="J95" s="1"/>
      <c r="K95" s="1"/>
      <c r="L95" s="2">
        <f t="shared" si="6"/>
        <v>46105</v>
      </c>
      <c r="M95" s="1" t="str">
        <f t="shared" ca="1" si="7"/>
        <v>CERRADO</v>
      </c>
      <c r="N95" s="1"/>
    </row>
    <row r="96" spans="1:14">
      <c r="A96" s="1">
        <v>93</v>
      </c>
      <c r="B96" s="2">
        <v>46100</v>
      </c>
      <c r="C96" s="1" t="s">
        <v>290</v>
      </c>
      <c r="D96" s="1" t="s">
        <v>313</v>
      </c>
      <c r="E96" s="1" t="s">
        <v>314</v>
      </c>
      <c r="F96" s="1" t="s">
        <v>116</v>
      </c>
      <c r="G96" s="1" t="s">
        <v>152</v>
      </c>
      <c r="H96" s="1" t="s">
        <v>315</v>
      </c>
      <c r="I96" s="1" t="s">
        <v>316</v>
      </c>
      <c r="J96" s="1"/>
      <c r="K96" s="1"/>
      <c r="L96" s="2">
        <f t="shared" si="6"/>
        <v>46105</v>
      </c>
      <c r="M96" s="1" t="str">
        <f t="shared" ca="1" si="7"/>
        <v>CERRADO</v>
      </c>
      <c r="N96" s="1"/>
    </row>
    <row r="97" spans="1:14">
      <c r="A97" s="1">
        <v>94</v>
      </c>
      <c r="B97" s="2">
        <v>46100</v>
      </c>
      <c r="C97" s="1" t="s">
        <v>290</v>
      </c>
      <c r="D97" s="1" t="s">
        <v>317</v>
      </c>
      <c r="E97" s="1" t="s">
        <v>314</v>
      </c>
      <c r="F97" s="1" t="s">
        <v>299</v>
      </c>
      <c r="G97" s="1" t="s">
        <v>152</v>
      </c>
      <c r="H97" s="1" t="s">
        <v>318</v>
      </c>
      <c r="I97" s="1" t="s">
        <v>319</v>
      </c>
      <c r="J97" s="1"/>
      <c r="K97" s="1"/>
      <c r="L97" s="2">
        <f t="shared" si="6"/>
        <v>46105</v>
      </c>
      <c r="M97" s="1" t="str">
        <f t="shared" ca="1" si="7"/>
        <v>CERRADO</v>
      </c>
      <c r="N97" s="1"/>
    </row>
    <row r="98" spans="1:14">
      <c r="A98" s="1">
        <v>95</v>
      </c>
      <c r="B98" s="2">
        <v>46100</v>
      </c>
      <c r="C98" s="1" t="s">
        <v>290</v>
      </c>
      <c r="D98" s="1" t="s">
        <v>320</v>
      </c>
      <c r="E98" s="1" t="s">
        <v>321</v>
      </c>
      <c r="F98" s="1" t="s">
        <v>295</v>
      </c>
      <c r="G98" s="1" t="s">
        <v>33</v>
      </c>
      <c r="H98" s="1" t="s">
        <v>256</v>
      </c>
      <c r="I98" s="1" t="s">
        <v>322</v>
      </c>
      <c r="J98" s="1"/>
      <c r="K98" s="1"/>
      <c r="L98" s="2">
        <f t="shared" si="6"/>
        <v>46105</v>
      </c>
      <c r="M98" s="1" t="str">
        <f t="shared" ca="1" si="7"/>
        <v>CERRADO</v>
      </c>
      <c r="N98" s="1"/>
    </row>
    <row r="99" spans="1:14">
      <c r="A99" s="1">
        <v>96</v>
      </c>
      <c r="B99" s="2">
        <v>46100</v>
      </c>
      <c r="C99" s="1" t="s">
        <v>290</v>
      </c>
      <c r="D99" s="1" t="s">
        <v>323</v>
      </c>
      <c r="E99" s="1" t="s">
        <v>305</v>
      </c>
      <c r="F99" s="1" t="s">
        <v>295</v>
      </c>
      <c r="G99" s="1" t="s">
        <v>33</v>
      </c>
      <c r="H99" s="1" t="s">
        <v>256</v>
      </c>
      <c r="I99" s="1" t="s">
        <v>324</v>
      </c>
      <c r="J99" s="1"/>
      <c r="K99" s="1"/>
      <c r="L99" s="2">
        <f t="shared" si="6"/>
        <v>46105</v>
      </c>
      <c r="M99" s="1" t="str">
        <f t="shared" ca="1" si="7"/>
        <v>CERRADO</v>
      </c>
      <c r="N99" s="1"/>
    </row>
    <row r="100" spans="1:14">
      <c r="A100" s="1">
        <v>97</v>
      </c>
      <c r="B100" s="2">
        <v>46100</v>
      </c>
      <c r="C100" s="1" t="s">
        <v>325</v>
      </c>
      <c r="D100" s="1" t="s">
        <v>326</v>
      </c>
      <c r="E100" s="1" t="s">
        <v>327</v>
      </c>
      <c r="F100" s="1" t="s">
        <v>328</v>
      </c>
      <c r="G100" s="1" t="s">
        <v>88</v>
      </c>
      <c r="H100" s="1" t="s">
        <v>329</v>
      </c>
      <c r="I100" s="1" t="s">
        <v>330</v>
      </c>
      <c r="J100" s="1"/>
      <c r="K100" s="1"/>
      <c r="L100" s="2">
        <f t="shared" si="6"/>
        <v>46105</v>
      </c>
      <c r="M100" s="1" t="str">
        <f t="shared" ca="1" si="7"/>
        <v>CERRADO</v>
      </c>
      <c r="N100" s="1"/>
    </row>
    <row r="101" spans="1:14">
      <c r="A101" s="1">
        <v>98</v>
      </c>
      <c r="B101" s="2">
        <v>46100</v>
      </c>
      <c r="C101" s="1" t="s">
        <v>325</v>
      </c>
      <c r="D101" s="1" t="s">
        <v>331</v>
      </c>
      <c r="E101" s="1" t="s">
        <v>294</v>
      </c>
      <c r="F101" s="1" t="s">
        <v>332</v>
      </c>
      <c r="G101" s="1" t="s">
        <v>33</v>
      </c>
      <c r="H101" s="1" t="s">
        <v>288</v>
      </c>
      <c r="I101" s="1" t="s">
        <v>330</v>
      </c>
      <c r="J101" s="1"/>
      <c r="K101" s="1"/>
      <c r="L101" s="2">
        <f t="shared" si="6"/>
        <v>46105</v>
      </c>
      <c r="M101" s="1" t="str">
        <f t="shared" ca="1" si="7"/>
        <v>CERRADO</v>
      </c>
      <c r="N101" s="1"/>
    </row>
    <row r="102" spans="1:14">
      <c r="A102" s="1">
        <v>99</v>
      </c>
      <c r="B102" s="2">
        <v>46100</v>
      </c>
      <c r="C102" s="1" t="s">
        <v>325</v>
      </c>
      <c r="D102" s="1" t="s">
        <v>333</v>
      </c>
      <c r="E102" s="1" t="s">
        <v>314</v>
      </c>
      <c r="F102" s="1" t="s">
        <v>306</v>
      </c>
      <c r="G102" s="1" t="s">
        <v>152</v>
      </c>
      <c r="H102" s="1" t="s">
        <v>315</v>
      </c>
      <c r="I102" s="1" t="s">
        <v>334</v>
      </c>
      <c r="J102" s="1"/>
      <c r="K102" s="1"/>
      <c r="L102" s="2">
        <f t="shared" si="6"/>
        <v>46105</v>
      </c>
      <c r="M102" s="1" t="str">
        <f t="shared" ca="1" si="7"/>
        <v>CERRADO</v>
      </c>
      <c r="N102" s="1"/>
    </row>
    <row r="103" spans="1:14">
      <c r="A103" s="1">
        <v>100</v>
      </c>
      <c r="B103" s="2">
        <v>46100</v>
      </c>
      <c r="C103" s="1" t="s">
        <v>325</v>
      </c>
      <c r="D103" s="1" t="s">
        <v>335</v>
      </c>
      <c r="E103" s="1" t="s">
        <v>336</v>
      </c>
      <c r="F103" s="1" t="s">
        <v>328</v>
      </c>
      <c r="G103" s="1" t="s">
        <v>33</v>
      </c>
      <c r="H103" s="1" t="s">
        <v>337</v>
      </c>
      <c r="I103" s="1" t="s">
        <v>338</v>
      </c>
      <c r="J103" s="1"/>
      <c r="K103" s="1"/>
      <c r="L103" s="2">
        <f t="shared" si="6"/>
        <v>46105</v>
      </c>
      <c r="M103" s="1" t="str">
        <f t="shared" ca="1" si="7"/>
        <v>CERRADO</v>
      </c>
      <c r="N103" s="1"/>
    </row>
    <row r="104" spans="1:14">
      <c r="A104" s="1">
        <v>101</v>
      </c>
      <c r="B104" s="2">
        <v>46101</v>
      </c>
      <c r="C104" s="1" t="s">
        <v>253</v>
      </c>
      <c r="D104" s="1" t="s">
        <v>339</v>
      </c>
      <c r="E104" s="1" t="s">
        <v>119</v>
      </c>
      <c r="F104" s="1" t="s">
        <v>340</v>
      </c>
      <c r="G104" s="1" t="s">
        <v>121</v>
      </c>
      <c r="H104" s="1" t="s">
        <v>341</v>
      </c>
      <c r="I104" s="1" t="s">
        <v>342</v>
      </c>
      <c r="J104" s="1"/>
      <c r="K104" s="1"/>
      <c r="L104" s="2">
        <f t="shared" si="6"/>
        <v>46106</v>
      </c>
      <c r="M104" s="1" t="str">
        <f t="shared" ca="1" si="7"/>
        <v>CERRADO</v>
      </c>
      <c r="N104" s="1"/>
    </row>
    <row r="105" spans="1:14">
      <c r="A105" s="1">
        <v>102</v>
      </c>
      <c r="B105" s="2">
        <v>46101</v>
      </c>
      <c r="C105" s="1" t="s">
        <v>290</v>
      </c>
      <c r="D105" s="1" t="s">
        <v>343</v>
      </c>
      <c r="E105" s="1" t="s">
        <v>321</v>
      </c>
      <c r="F105" s="1" t="s">
        <v>344</v>
      </c>
      <c r="G105" s="1" t="s">
        <v>33</v>
      </c>
      <c r="H105" s="1" t="s">
        <v>256</v>
      </c>
      <c r="I105" s="1" t="s">
        <v>345</v>
      </c>
      <c r="J105" s="1"/>
      <c r="K105" s="1"/>
      <c r="L105" s="2">
        <f t="shared" si="6"/>
        <v>46106</v>
      </c>
      <c r="M105" s="1" t="str">
        <f t="shared" ca="1" si="7"/>
        <v>CERRADO</v>
      </c>
      <c r="N105" s="1"/>
    </row>
    <row r="106" spans="1:14">
      <c r="A106" s="1">
        <v>103</v>
      </c>
      <c r="B106" s="2">
        <v>46101</v>
      </c>
      <c r="C106" s="1" t="s">
        <v>325</v>
      </c>
      <c r="D106" s="1" t="s">
        <v>346</v>
      </c>
      <c r="E106" s="1" t="s">
        <v>188</v>
      </c>
      <c r="F106" s="1" t="s">
        <v>347</v>
      </c>
      <c r="G106" s="1" t="s">
        <v>30</v>
      </c>
      <c r="H106" s="1" t="s">
        <v>348</v>
      </c>
      <c r="I106" s="1" t="s">
        <v>349</v>
      </c>
      <c r="J106" s="1"/>
      <c r="K106" s="1"/>
      <c r="L106" s="2">
        <f t="shared" si="6"/>
        <v>46106</v>
      </c>
      <c r="M106" s="1" t="str">
        <f t="shared" ca="1" si="7"/>
        <v>CERRADO</v>
      </c>
      <c r="N106" s="1"/>
    </row>
    <row r="107" spans="1:14">
      <c r="A107" s="1">
        <v>104</v>
      </c>
      <c r="B107" s="2">
        <v>46101</v>
      </c>
      <c r="C107" s="1" t="s">
        <v>16</v>
      </c>
      <c r="D107" s="1" t="s">
        <v>350</v>
      </c>
      <c r="E107" s="1" t="s">
        <v>351</v>
      </c>
      <c r="F107" s="1" t="s">
        <v>352</v>
      </c>
      <c r="G107" s="1" t="s">
        <v>30</v>
      </c>
      <c r="H107" s="1" t="s">
        <v>31</v>
      </c>
      <c r="I107" s="1" t="s">
        <v>353</v>
      </c>
      <c r="J107" s="1"/>
      <c r="K107" s="1"/>
      <c r="L107" s="2">
        <f t="shared" si="6"/>
        <v>46106</v>
      </c>
      <c r="M107" s="1" t="str">
        <f t="shared" ca="1" si="7"/>
        <v>CERRADO</v>
      </c>
      <c r="N107" s="1"/>
    </row>
    <row r="108" spans="1:14">
      <c r="A108" s="1">
        <v>105</v>
      </c>
      <c r="B108" s="2">
        <v>46104</v>
      </c>
      <c r="C108" s="1" t="s">
        <v>16</v>
      </c>
      <c r="D108" s="1" t="s">
        <v>354</v>
      </c>
      <c r="E108" s="1" t="s">
        <v>291</v>
      </c>
      <c r="F108" s="1" t="s">
        <v>302</v>
      </c>
      <c r="G108" s="1" t="s">
        <v>121</v>
      </c>
      <c r="H108" s="1" t="s">
        <v>122</v>
      </c>
      <c r="I108" s="1" t="s">
        <v>355</v>
      </c>
      <c r="J108" s="1"/>
      <c r="K108" s="1"/>
      <c r="L108" s="2">
        <f t="shared" si="6"/>
        <v>46109</v>
      </c>
      <c r="M108" s="1" t="str">
        <f t="shared" ca="1" si="7"/>
        <v>CERRADO</v>
      </c>
      <c r="N108" s="1"/>
    </row>
    <row r="109" spans="1:14">
      <c r="A109" s="1">
        <v>106</v>
      </c>
      <c r="B109" s="2">
        <v>46104</v>
      </c>
      <c r="C109" s="1" t="s">
        <v>16</v>
      </c>
      <c r="D109" s="1" t="s">
        <v>356</v>
      </c>
      <c r="E109" s="1" t="s">
        <v>357</v>
      </c>
      <c r="F109" s="1" t="s">
        <v>295</v>
      </c>
      <c r="G109" s="1" t="s">
        <v>121</v>
      </c>
      <c r="H109" s="1" t="s">
        <v>122</v>
      </c>
      <c r="I109" s="1" t="s">
        <v>355</v>
      </c>
      <c r="J109" s="1"/>
      <c r="K109" s="1"/>
      <c r="L109" s="2">
        <f t="shared" si="6"/>
        <v>46109</v>
      </c>
      <c r="M109" s="1" t="str">
        <f t="shared" ca="1" si="7"/>
        <v>CERRADO</v>
      </c>
      <c r="N109" s="1"/>
    </row>
    <row r="110" spans="1:14">
      <c r="A110" s="1">
        <v>107</v>
      </c>
      <c r="B110" s="2">
        <v>46104</v>
      </c>
      <c r="C110" s="1" t="s">
        <v>290</v>
      </c>
      <c r="D110" s="1" t="s">
        <v>358</v>
      </c>
      <c r="E110" s="1" t="s">
        <v>188</v>
      </c>
      <c r="F110" s="1" t="s">
        <v>259</v>
      </c>
      <c r="G110" s="1" t="s">
        <v>30</v>
      </c>
      <c r="H110" s="1" t="s">
        <v>31</v>
      </c>
      <c r="I110" s="1" t="s">
        <v>359</v>
      </c>
      <c r="J110" s="1"/>
      <c r="K110" s="1"/>
      <c r="L110" s="2">
        <f t="shared" si="6"/>
        <v>46109</v>
      </c>
      <c r="M110" s="1" t="str">
        <f t="shared" ca="1" si="7"/>
        <v>CERRADO</v>
      </c>
      <c r="N110" s="1"/>
    </row>
    <row r="111" spans="1:14">
      <c r="A111" s="1">
        <v>108</v>
      </c>
      <c r="B111" s="2">
        <v>46104</v>
      </c>
      <c r="C111" s="1" t="s">
        <v>16</v>
      </c>
      <c r="D111" s="1" t="s">
        <v>360</v>
      </c>
      <c r="E111" s="1" t="s">
        <v>294</v>
      </c>
      <c r="F111" s="1" t="s">
        <v>361</v>
      </c>
      <c r="G111" s="1" t="s">
        <v>33</v>
      </c>
      <c r="H111" s="1" t="s">
        <v>288</v>
      </c>
      <c r="I111" s="1" t="s">
        <v>362</v>
      </c>
      <c r="J111" s="1"/>
      <c r="K111" s="1"/>
      <c r="L111" s="2">
        <f t="shared" si="6"/>
        <v>46109</v>
      </c>
      <c r="M111" s="1" t="str">
        <f t="shared" ca="1" si="7"/>
        <v>CERRADO</v>
      </c>
      <c r="N111" s="1"/>
    </row>
    <row r="112" spans="1:14" ht="43.2">
      <c r="A112" s="37">
        <v>109</v>
      </c>
      <c r="B112" s="38">
        <v>46104</v>
      </c>
      <c r="C112" s="37" t="s">
        <v>49</v>
      </c>
      <c r="D112" s="37" t="s">
        <v>363</v>
      </c>
      <c r="E112" s="37" t="s">
        <v>188</v>
      </c>
      <c r="F112" s="37" t="s">
        <v>340</v>
      </c>
      <c r="G112" s="37" t="s">
        <v>30</v>
      </c>
      <c r="H112" s="37" t="s">
        <v>364</v>
      </c>
      <c r="I112" s="37" t="s">
        <v>365</v>
      </c>
      <c r="J112" s="37"/>
      <c r="K112" s="38">
        <f>B112</f>
        <v>46104</v>
      </c>
      <c r="L112" s="38">
        <f>B112</f>
        <v>46104</v>
      </c>
      <c r="M112" s="40" t="str">
        <f ca="1">IF(L112&lt;&gt;"","CERRADO",IF(K112&gt;TODAY(),"EN PROCESO",IF(L112="","ABIERTO")))</f>
        <v>CERRADO</v>
      </c>
      <c r="N112" s="37"/>
    </row>
    <row r="113" spans="1:14">
      <c r="A113" s="1">
        <v>110</v>
      </c>
      <c r="B113" s="2">
        <v>46104</v>
      </c>
      <c r="C113" s="1" t="s">
        <v>49</v>
      </c>
      <c r="D113" s="1" t="s">
        <v>366</v>
      </c>
      <c r="E113" s="1" t="s">
        <v>367</v>
      </c>
      <c r="F113" s="1" t="s">
        <v>368</v>
      </c>
      <c r="G113" s="1" t="s">
        <v>152</v>
      </c>
      <c r="H113" s="1" t="s">
        <v>315</v>
      </c>
      <c r="I113" s="1" t="s">
        <v>359</v>
      </c>
      <c r="J113" s="1"/>
      <c r="K113" s="1"/>
      <c r="L113" s="2">
        <f t="shared" ref="L113:L157" si="8">B113+5</f>
        <v>46109</v>
      </c>
      <c r="M113" s="1" t="str">
        <f t="shared" ref="M113:M176" ca="1" si="9">IF(L113&lt;TODAY(),"CERRADO","ABIERTO")</f>
        <v>CERRADO</v>
      </c>
      <c r="N113" s="1"/>
    </row>
    <row r="114" spans="1:14">
      <c r="A114" s="1">
        <v>111</v>
      </c>
      <c r="B114" s="2">
        <v>46104</v>
      </c>
      <c r="C114" s="1" t="s">
        <v>49</v>
      </c>
      <c r="D114" s="1" t="s">
        <v>369</v>
      </c>
      <c r="E114" s="1" t="s">
        <v>321</v>
      </c>
      <c r="F114" s="1" t="s">
        <v>370</v>
      </c>
      <c r="G114" s="1" t="s">
        <v>33</v>
      </c>
      <c r="H114" s="1" t="s">
        <v>135</v>
      </c>
      <c r="I114" s="1" t="s">
        <v>371</v>
      </c>
      <c r="J114" s="1"/>
      <c r="K114" s="1"/>
      <c r="L114" s="2">
        <f t="shared" si="8"/>
        <v>46109</v>
      </c>
      <c r="M114" s="1" t="str">
        <f t="shared" ca="1" si="9"/>
        <v>CERRADO</v>
      </c>
      <c r="N114" s="1"/>
    </row>
    <row r="115" spans="1:14">
      <c r="A115" s="1">
        <v>112</v>
      </c>
      <c r="B115" s="2">
        <v>46104</v>
      </c>
      <c r="C115" s="1" t="s">
        <v>16</v>
      </c>
      <c r="D115" s="1" t="s">
        <v>372</v>
      </c>
      <c r="E115" s="1" t="s">
        <v>321</v>
      </c>
      <c r="F115" s="1" t="s">
        <v>361</v>
      </c>
      <c r="G115" s="1" t="s">
        <v>33</v>
      </c>
      <c r="H115" s="1" t="s">
        <v>135</v>
      </c>
      <c r="I115" s="1" t="s">
        <v>373</v>
      </c>
      <c r="J115" s="1"/>
      <c r="K115" s="1"/>
      <c r="L115" s="2">
        <f t="shared" si="8"/>
        <v>46109</v>
      </c>
      <c r="M115" s="1" t="str">
        <f t="shared" ca="1" si="9"/>
        <v>CERRADO</v>
      </c>
      <c r="N115" s="1"/>
    </row>
    <row r="116" spans="1:14">
      <c r="A116" s="1">
        <v>113</v>
      </c>
      <c r="B116" s="2">
        <v>46104</v>
      </c>
      <c r="C116" s="1" t="s">
        <v>49</v>
      </c>
      <c r="D116" s="1" t="s">
        <v>293</v>
      </c>
      <c r="E116" s="1" t="s">
        <v>321</v>
      </c>
      <c r="F116" s="1" t="s">
        <v>295</v>
      </c>
      <c r="G116" s="1" t="s">
        <v>33</v>
      </c>
      <c r="H116" s="1" t="s">
        <v>135</v>
      </c>
      <c r="I116" s="1" t="s">
        <v>374</v>
      </c>
      <c r="J116" s="1"/>
      <c r="K116" s="1"/>
      <c r="L116" s="2">
        <f t="shared" si="8"/>
        <v>46109</v>
      </c>
      <c r="M116" s="1" t="str">
        <f t="shared" ca="1" si="9"/>
        <v>CERRADO</v>
      </c>
      <c r="N116" s="1"/>
    </row>
    <row r="117" spans="1:14">
      <c r="A117" s="1">
        <v>114</v>
      </c>
      <c r="B117" s="2">
        <v>46104</v>
      </c>
      <c r="C117" s="1" t="s">
        <v>290</v>
      </c>
      <c r="D117" s="1" t="s">
        <v>375</v>
      </c>
      <c r="E117" s="1" t="s">
        <v>336</v>
      </c>
      <c r="F117" s="1" t="s">
        <v>361</v>
      </c>
      <c r="G117" s="1" t="s">
        <v>147</v>
      </c>
      <c r="H117" s="1" t="s">
        <v>376</v>
      </c>
      <c r="I117" s="1" t="s">
        <v>377</v>
      </c>
      <c r="J117" s="1"/>
      <c r="K117" s="1"/>
      <c r="L117" s="2">
        <f t="shared" si="8"/>
        <v>46109</v>
      </c>
      <c r="M117" s="1" t="str">
        <f t="shared" ca="1" si="9"/>
        <v>CERRADO</v>
      </c>
      <c r="N117" s="1"/>
    </row>
    <row r="118" spans="1:14">
      <c r="A118" s="1">
        <v>115</v>
      </c>
      <c r="B118" s="2">
        <v>46105</v>
      </c>
      <c r="C118" s="1" t="s">
        <v>49</v>
      </c>
      <c r="D118" s="1" t="s">
        <v>378</v>
      </c>
      <c r="E118" s="1" t="s">
        <v>188</v>
      </c>
      <c r="F118" s="1" t="s">
        <v>282</v>
      </c>
      <c r="G118" s="1" t="s">
        <v>162</v>
      </c>
      <c r="H118" s="1" t="s">
        <v>379</v>
      </c>
      <c r="I118" s="1" t="s">
        <v>380</v>
      </c>
      <c r="J118" s="1"/>
      <c r="K118" s="1"/>
      <c r="L118" s="2">
        <f t="shared" si="8"/>
        <v>46110</v>
      </c>
      <c r="M118" s="1" t="str">
        <f t="shared" ca="1" si="9"/>
        <v>CERRADO</v>
      </c>
      <c r="N118" s="1"/>
    </row>
    <row r="119" spans="1:14">
      <c r="A119" s="1">
        <v>116</v>
      </c>
      <c r="B119" s="2">
        <v>46105</v>
      </c>
      <c r="C119" s="1" t="s">
        <v>325</v>
      </c>
      <c r="D119" s="1" t="s">
        <v>381</v>
      </c>
      <c r="E119" s="1" t="s">
        <v>128</v>
      </c>
      <c r="F119" s="1" t="s">
        <v>382</v>
      </c>
      <c r="G119" s="1" t="s">
        <v>33</v>
      </c>
      <c r="H119" s="1" t="s">
        <v>383</v>
      </c>
      <c r="I119" s="1" t="s">
        <v>384</v>
      </c>
      <c r="J119" s="1"/>
      <c r="K119" s="1"/>
      <c r="L119" s="2">
        <f t="shared" si="8"/>
        <v>46110</v>
      </c>
      <c r="M119" s="1" t="str">
        <f t="shared" ca="1" si="9"/>
        <v>CERRADO</v>
      </c>
      <c r="N119" s="1"/>
    </row>
    <row r="120" spans="1:14">
      <c r="A120" s="1">
        <v>117</v>
      </c>
      <c r="B120" s="2">
        <v>46105</v>
      </c>
      <c r="C120" s="1" t="s">
        <v>290</v>
      </c>
      <c r="D120" s="1" t="s">
        <v>385</v>
      </c>
      <c r="E120" s="1" t="s">
        <v>128</v>
      </c>
      <c r="F120" s="1" t="s">
        <v>386</v>
      </c>
      <c r="G120" s="1" t="s">
        <v>33</v>
      </c>
      <c r="H120" s="1" t="s">
        <v>139</v>
      </c>
      <c r="I120" s="1" t="s">
        <v>387</v>
      </c>
      <c r="J120" s="1"/>
      <c r="K120" s="1"/>
      <c r="L120" s="2">
        <f t="shared" si="8"/>
        <v>46110</v>
      </c>
      <c r="M120" s="1" t="str">
        <f t="shared" ca="1" si="9"/>
        <v>CERRADO</v>
      </c>
      <c r="N120" s="1"/>
    </row>
    <row r="121" spans="1:14">
      <c r="A121" s="1">
        <v>118</v>
      </c>
      <c r="B121" s="2">
        <v>46105</v>
      </c>
      <c r="C121" s="1" t="s">
        <v>325</v>
      </c>
      <c r="D121" s="1" t="s">
        <v>388</v>
      </c>
      <c r="E121" s="1" t="s">
        <v>389</v>
      </c>
      <c r="F121" s="1" t="s">
        <v>390</v>
      </c>
      <c r="G121" s="1" t="s">
        <v>33</v>
      </c>
      <c r="H121" s="1" t="s">
        <v>234</v>
      </c>
      <c r="I121" s="1" t="s">
        <v>391</v>
      </c>
      <c r="J121" s="1"/>
      <c r="K121" s="1"/>
      <c r="L121" s="2">
        <f t="shared" si="8"/>
        <v>46110</v>
      </c>
      <c r="M121" s="1" t="str">
        <f t="shared" ca="1" si="9"/>
        <v>CERRADO</v>
      </c>
      <c r="N121" s="1"/>
    </row>
    <row r="122" spans="1:14">
      <c r="A122" s="1">
        <v>119</v>
      </c>
      <c r="B122" s="2">
        <v>46105</v>
      </c>
      <c r="C122" s="1" t="s">
        <v>165</v>
      </c>
      <c r="D122" s="1" t="s">
        <v>392</v>
      </c>
      <c r="E122" s="1" t="s">
        <v>314</v>
      </c>
      <c r="F122" s="1" t="s">
        <v>393</v>
      </c>
      <c r="G122" s="1" t="s">
        <v>152</v>
      </c>
      <c r="H122" s="1" t="s">
        <v>394</v>
      </c>
      <c r="I122" s="1" t="s">
        <v>395</v>
      </c>
      <c r="J122" s="1"/>
      <c r="K122" s="1"/>
      <c r="L122" s="2">
        <f t="shared" si="8"/>
        <v>46110</v>
      </c>
      <c r="M122" s="1" t="str">
        <f t="shared" ca="1" si="9"/>
        <v>CERRADO</v>
      </c>
      <c r="N122" s="1"/>
    </row>
    <row r="123" spans="1:14">
      <c r="A123" s="1">
        <v>120</v>
      </c>
      <c r="B123" s="2">
        <v>46105</v>
      </c>
      <c r="C123" s="1" t="s">
        <v>325</v>
      </c>
      <c r="D123" s="1" t="s">
        <v>396</v>
      </c>
      <c r="E123" s="1" t="s">
        <v>397</v>
      </c>
      <c r="F123" s="1" t="s">
        <v>398</v>
      </c>
      <c r="G123" s="1" t="s">
        <v>88</v>
      </c>
      <c r="H123" s="1" t="s">
        <v>329</v>
      </c>
      <c r="I123" s="1" t="s">
        <v>399</v>
      </c>
      <c r="J123" s="1"/>
      <c r="K123" s="1"/>
      <c r="L123" s="2">
        <f t="shared" si="8"/>
        <v>46110</v>
      </c>
      <c r="M123" s="1" t="str">
        <f t="shared" ca="1" si="9"/>
        <v>CERRADO</v>
      </c>
      <c r="N123" s="1"/>
    </row>
    <row r="124" spans="1:14">
      <c r="A124" s="1">
        <v>121</v>
      </c>
      <c r="B124" s="2">
        <v>46105</v>
      </c>
      <c r="C124" s="1" t="s">
        <v>49</v>
      </c>
      <c r="D124" s="1" t="s">
        <v>400</v>
      </c>
      <c r="E124" s="1" t="s">
        <v>401</v>
      </c>
      <c r="F124" s="1" t="s">
        <v>248</v>
      </c>
      <c r="G124" s="1" t="s">
        <v>33</v>
      </c>
      <c r="H124" s="1" t="s">
        <v>256</v>
      </c>
      <c r="I124" s="1" t="s">
        <v>402</v>
      </c>
      <c r="J124" s="1"/>
      <c r="K124" s="1"/>
      <c r="L124" s="2">
        <f t="shared" si="8"/>
        <v>46110</v>
      </c>
      <c r="M124" s="1" t="str">
        <f t="shared" ca="1" si="9"/>
        <v>CERRADO</v>
      </c>
      <c r="N124" s="1"/>
    </row>
    <row r="125" spans="1:14">
      <c r="A125" s="1">
        <v>122</v>
      </c>
      <c r="B125" s="2">
        <v>46105</v>
      </c>
      <c r="C125" s="1" t="s">
        <v>325</v>
      </c>
      <c r="D125" s="1" t="s">
        <v>403</v>
      </c>
      <c r="E125" s="1" t="s">
        <v>404</v>
      </c>
      <c r="F125" s="1" t="s">
        <v>405</v>
      </c>
      <c r="G125" s="1" t="s">
        <v>88</v>
      </c>
      <c r="H125" s="1" t="s">
        <v>406</v>
      </c>
      <c r="I125" s="1" t="s">
        <v>407</v>
      </c>
      <c r="J125" s="1"/>
      <c r="K125" s="1"/>
      <c r="L125" s="2">
        <f t="shared" si="8"/>
        <v>46110</v>
      </c>
      <c r="M125" s="1" t="str">
        <f t="shared" ca="1" si="9"/>
        <v>CERRADO</v>
      </c>
      <c r="N125" s="1"/>
    </row>
    <row r="126" spans="1:14">
      <c r="A126" s="1">
        <v>123</v>
      </c>
      <c r="B126" s="2">
        <v>46105</v>
      </c>
      <c r="C126" s="1" t="s">
        <v>49</v>
      </c>
      <c r="D126" s="1" t="s">
        <v>408</v>
      </c>
      <c r="E126" s="1" t="s">
        <v>314</v>
      </c>
      <c r="F126" s="1" t="s">
        <v>409</v>
      </c>
      <c r="G126" s="1" t="s">
        <v>273</v>
      </c>
      <c r="H126" s="1" t="s">
        <v>410</v>
      </c>
      <c r="I126" s="1" t="s">
        <v>411</v>
      </c>
      <c r="J126" s="1"/>
      <c r="K126" s="1"/>
      <c r="L126" s="2">
        <f t="shared" si="8"/>
        <v>46110</v>
      </c>
      <c r="M126" s="1" t="str">
        <f t="shared" ca="1" si="9"/>
        <v>CERRADO</v>
      </c>
      <c r="N126" s="1"/>
    </row>
    <row r="127" spans="1:14">
      <c r="A127" s="1">
        <v>124</v>
      </c>
      <c r="B127" s="2">
        <v>46105</v>
      </c>
      <c r="C127" s="1" t="s">
        <v>325</v>
      </c>
      <c r="D127" s="1" t="s">
        <v>412</v>
      </c>
      <c r="E127" s="1" t="s">
        <v>188</v>
      </c>
      <c r="F127" s="1" t="s">
        <v>413</v>
      </c>
      <c r="G127" s="1" t="s">
        <v>30</v>
      </c>
      <c r="H127" s="1" t="s">
        <v>31</v>
      </c>
      <c r="I127" s="1" t="s">
        <v>414</v>
      </c>
      <c r="J127" s="1"/>
      <c r="K127" s="1"/>
      <c r="L127" s="2">
        <f t="shared" si="8"/>
        <v>46110</v>
      </c>
      <c r="M127" s="1" t="str">
        <f t="shared" ca="1" si="9"/>
        <v>CERRADO</v>
      </c>
      <c r="N127" s="1"/>
    </row>
    <row r="128" spans="1:14">
      <c r="A128" s="1">
        <v>125</v>
      </c>
      <c r="B128" s="2">
        <v>46106</v>
      </c>
      <c r="C128" s="1" t="s">
        <v>290</v>
      </c>
      <c r="D128" s="1" t="s">
        <v>415</v>
      </c>
      <c r="E128" s="1" t="s">
        <v>314</v>
      </c>
      <c r="F128" s="1" t="s">
        <v>393</v>
      </c>
      <c r="G128" s="1" t="s">
        <v>152</v>
      </c>
      <c r="H128" s="1" t="s">
        <v>394</v>
      </c>
      <c r="I128" s="1" t="s">
        <v>416</v>
      </c>
      <c r="J128" s="1"/>
      <c r="K128" s="1"/>
      <c r="L128" s="2">
        <f t="shared" si="8"/>
        <v>46111</v>
      </c>
      <c r="M128" s="1" t="str">
        <f t="shared" ca="1" si="9"/>
        <v>CERRADO</v>
      </c>
      <c r="N128" s="1"/>
    </row>
    <row r="129" spans="1:14">
      <c r="A129" s="1">
        <v>126</v>
      </c>
      <c r="B129" s="2">
        <v>46106</v>
      </c>
      <c r="C129" s="1" t="s">
        <v>417</v>
      </c>
      <c r="D129" s="1" t="s">
        <v>418</v>
      </c>
      <c r="E129" s="1" t="s">
        <v>314</v>
      </c>
      <c r="F129" s="1" t="s">
        <v>393</v>
      </c>
      <c r="G129" s="1" t="s">
        <v>152</v>
      </c>
      <c r="H129" s="1" t="s">
        <v>394</v>
      </c>
      <c r="I129" s="1" t="s">
        <v>419</v>
      </c>
      <c r="J129" s="1"/>
      <c r="K129" s="1"/>
      <c r="L129" s="2">
        <f t="shared" si="8"/>
        <v>46111</v>
      </c>
      <c r="M129" s="1" t="str">
        <f t="shared" ca="1" si="9"/>
        <v>CERRADO</v>
      </c>
      <c r="N129" s="1"/>
    </row>
    <row r="130" spans="1:14">
      <c r="A130" s="1">
        <v>127</v>
      </c>
      <c r="B130" s="2">
        <v>46106</v>
      </c>
      <c r="C130" s="1" t="s">
        <v>49</v>
      </c>
      <c r="D130" s="1" t="s">
        <v>420</v>
      </c>
      <c r="E130" s="1" t="s">
        <v>188</v>
      </c>
      <c r="F130" s="1" t="s">
        <v>393</v>
      </c>
      <c r="G130" s="1" t="s">
        <v>30</v>
      </c>
      <c r="H130" s="1" t="s">
        <v>31</v>
      </c>
      <c r="I130" s="1" t="s">
        <v>421</v>
      </c>
      <c r="J130" s="1"/>
      <c r="K130" s="1"/>
      <c r="L130" s="2">
        <f t="shared" si="8"/>
        <v>46111</v>
      </c>
      <c r="M130" s="1" t="str">
        <f t="shared" ca="1" si="9"/>
        <v>CERRADO</v>
      </c>
      <c r="N130" s="1"/>
    </row>
    <row r="131" spans="1:14">
      <c r="A131" s="1">
        <v>128</v>
      </c>
      <c r="B131" s="2">
        <v>46106</v>
      </c>
      <c r="C131" s="1" t="s">
        <v>49</v>
      </c>
      <c r="D131" s="1" t="s">
        <v>422</v>
      </c>
      <c r="E131" s="1" t="s">
        <v>128</v>
      </c>
      <c r="F131" s="1" t="s">
        <v>423</v>
      </c>
      <c r="G131" s="1" t="s">
        <v>33</v>
      </c>
      <c r="H131" s="1" t="s">
        <v>424</v>
      </c>
      <c r="I131" s="1" t="s">
        <v>425</v>
      </c>
      <c r="J131" s="1"/>
      <c r="K131" s="1"/>
      <c r="L131" s="2">
        <f t="shared" si="8"/>
        <v>46111</v>
      </c>
      <c r="M131" s="1" t="str">
        <f t="shared" ca="1" si="9"/>
        <v>CERRADO</v>
      </c>
      <c r="N131" s="1"/>
    </row>
    <row r="132" spans="1:14">
      <c r="A132" s="1">
        <v>129</v>
      </c>
      <c r="B132" s="2">
        <v>46106</v>
      </c>
      <c r="C132" s="1" t="s">
        <v>49</v>
      </c>
      <c r="D132" s="1" t="s">
        <v>426</v>
      </c>
      <c r="E132" s="1" t="s">
        <v>321</v>
      </c>
      <c r="F132" s="1" t="s">
        <v>427</v>
      </c>
      <c r="G132" s="1" t="s">
        <v>33</v>
      </c>
      <c r="H132" s="1" t="s">
        <v>424</v>
      </c>
      <c r="I132" s="1" t="s">
        <v>428</v>
      </c>
      <c r="J132" s="1"/>
      <c r="K132" s="1"/>
      <c r="L132" s="2">
        <f t="shared" si="8"/>
        <v>46111</v>
      </c>
      <c r="M132" s="1" t="str">
        <f t="shared" ca="1" si="9"/>
        <v>CERRADO</v>
      </c>
      <c r="N132" s="1"/>
    </row>
    <row r="133" spans="1:14">
      <c r="A133" s="1">
        <v>130</v>
      </c>
      <c r="B133" s="2">
        <v>46106</v>
      </c>
      <c r="C133" s="1" t="s">
        <v>49</v>
      </c>
      <c r="D133" s="1" t="s">
        <v>385</v>
      </c>
      <c r="E133" s="1" t="s">
        <v>128</v>
      </c>
      <c r="F133" s="1" t="s">
        <v>386</v>
      </c>
      <c r="G133" s="1" t="s">
        <v>33</v>
      </c>
      <c r="H133" s="1" t="s">
        <v>424</v>
      </c>
      <c r="I133" s="1" t="s">
        <v>428</v>
      </c>
      <c r="J133" s="1"/>
      <c r="K133" s="1"/>
      <c r="L133" s="2">
        <f t="shared" si="8"/>
        <v>46111</v>
      </c>
      <c r="M133" s="1" t="str">
        <f t="shared" ca="1" si="9"/>
        <v>CERRADO</v>
      </c>
      <c r="N133" s="1"/>
    </row>
    <row r="134" spans="1:14">
      <c r="A134" s="1">
        <v>131</v>
      </c>
      <c r="B134" s="2">
        <v>46106</v>
      </c>
      <c r="C134" s="1" t="s">
        <v>49</v>
      </c>
      <c r="D134" s="1" t="s">
        <v>429</v>
      </c>
      <c r="E134" s="1" t="s">
        <v>128</v>
      </c>
      <c r="F134" s="1" t="s">
        <v>423</v>
      </c>
      <c r="G134" s="1" t="s">
        <v>33</v>
      </c>
      <c r="H134" s="1" t="s">
        <v>430</v>
      </c>
      <c r="I134" s="1" t="s">
        <v>428</v>
      </c>
      <c r="J134" s="1"/>
      <c r="K134" s="1"/>
      <c r="L134" s="2">
        <f t="shared" si="8"/>
        <v>46111</v>
      </c>
      <c r="M134" s="1" t="str">
        <f t="shared" ca="1" si="9"/>
        <v>CERRADO</v>
      </c>
      <c r="N134" s="1"/>
    </row>
    <row r="135" spans="1:14">
      <c r="A135" s="1">
        <v>132</v>
      </c>
      <c r="B135" s="2">
        <v>46106</v>
      </c>
      <c r="C135" s="1" t="s">
        <v>431</v>
      </c>
      <c r="D135" s="1" t="s">
        <v>432</v>
      </c>
      <c r="E135" s="1" t="s">
        <v>128</v>
      </c>
      <c r="F135" s="1" t="s">
        <v>390</v>
      </c>
      <c r="G135" s="1" t="s">
        <v>33</v>
      </c>
      <c r="H135" s="1" t="s">
        <v>256</v>
      </c>
      <c r="I135" s="1" t="s">
        <v>433</v>
      </c>
      <c r="J135" s="1"/>
      <c r="K135" s="1"/>
      <c r="L135" s="2">
        <f t="shared" si="8"/>
        <v>46111</v>
      </c>
      <c r="M135" s="1" t="str">
        <f t="shared" ca="1" si="9"/>
        <v>CERRADO</v>
      </c>
      <c r="N135" s="1"/>
    </row>
    <row r="136" spans="1:14">
      <c r="A136" s="1">
        <v>133</v>
      </c>
      <c r="B136" s="2">
        <v>46107</v>
      </c>
      <c r="C136" s="1" t="s">
        <v>290</v>
      </c>
      <c r="D136" s="1" t="s">
        <v>434</v>
      </c>
      <c r="E136" s="1" t="s">
        <v>314</v>
      </c>
      <c r="F136" s="1" t="s">
        <v>435</v>
      </c>
      <c r="G136" s="1" t="s">
        <v>152</v>
      </c>
      <c r="H136" s="1" t="s">
        <v>315</v>
      </c>
      <c r="I136" s="1" t="s">
        <v>436</v>
      </c>
      <c r="J136" s="1"/>
      <c r="K136" s="1"/>
      <c r="L136" s="2">
        <f t="shared" si="8"/>
        <v>46112</v>
      </c>
      <c r="M136" s="1" t="str">
        <f t="shared" ca="1" si="9"/>
        <v>CERRADO</v>
      </c>
      <c r="N136" s="1"/>
    </row>
    <row r="137" spans="1:14">
      <c r="A137" s="1">
        <v>134</v>
      </c>
      <c r="B137" s="2">
        <v>46107</v>
      </c>
      <c r="C137" s="1" t="s">
        <v>290</v>
      </c>
      <c r="D137" s="1" t="s">
        <v>437</v>
      </c>
      <c r="E137" s="1" t="s">
        <v>188</v>
      </c>
      <c r="F137" s="1" t="s">
        <v>259</v>
      </c>
      <c r="G137" s="1" t="s">
        <v>30</v>
      </c>
      <c r="H137" s="1" t="s">
        <v>31</v>
      </c>
      <c r="I137" s="1" t="s">
        <v>438</v>
      </c>
      <c r="J137" s="1"/>
      <c r="K137" s="1"/>
      <c r="L137" s="2">
        <f t="shared" si="8"/>
        <v>46112</v>
      </c>
      <c r="M137" s="1" t="str">
        <f t="shared" ca="1" si="9"/>
        <v>CERRADO</v>
      </c>
      <c r="N137" s="1"/>
    </row>
    <row r="138" spans="1:14">
      <c r="A138" s="1">
        <v>135</v>
      </c>
      <c r="B138" s="2">
        <v>46107</v>
      </c>
      <c r="C138" s="1" t="s">
        <v>290</v>
      </c>
      <c r="D138" s="1" t="s">
        <v>439</v>
      </c>
      <c r="E138" s="1" t="s">
        <v>119</v>
      </c>
      <c r="F138" s="1" t="s">
        <v>282</v>
      </c>
      <c r="G138" s="1" t="s">
        <v>162</v>
      </c>
      <c r="H138" s="1" t="s">
        <v>440</v>
      </c>
      <c r="I138" s="1" t="s">
        <v>441</v>
      </c>
      <c r="J138" s="1"/>
      <c r="K138" s="1"/>
      <c r="L138" s="2">
        <f t="shared" si="8"/>
        <v>46112</v>
      </c>
      <c r="M138" s="1" t="str">
        <f t="shared" ca="1" si="9"/>
        <v>CERRADO</v>
      </c>
      <c r="N138" s="1"/>
    </row>
    <row r="139" spans="1:14">
      <c r="A139" s="1">
        <v>136</v>
      </c>
      <c r="B139" s="2">
        <v>46107</v>
      </c>
      <c r="C139" s="1" t="s">
        <v>49</v>
      </c>
      <c r="D139" s="1" t="s">
        <v>442</v>
      </c>
      <c r="E139" s="1" t="s">
        <v>119</v>
      </c>
      <c r="F139" s="1" t="s">
        <v>259</v>
      </c>
      <c r="G139" s="1" t="s">
        <v>121</v>
      </c>
      <c r="H139" s="1" t="s">
        <v>443</v>
      </c>
      <c r="I139" s="1" t="s">
        <v>444</v>
      </c>
      <c r="J139" s="1"/>
      <c r="K139" s="1"/>
      <c r="L139" s="2">
        <f t="shared" si="8"/>
        <v>46112</v>
      </c>
      <c r="M139" s="1" t="str">
        <f t="shared" ca="1" si="9"/>
        <v>CERRADO</v>
      </c>
      <c r="N139" s="1"/>
    </row>
    <row r="140" spans="1:14">
      <c r="A140" s="1">
        <v>137</v>
      </c>
      <c r="B140" s="2">
        <v>46107</v>
      </c>
      <c r="C140" s="1" t="s">
        <v>290</v>
      </c>
      <c r="D140" s="1" t="s">
        <v>445</v>
      </c>
      <c r="E140" s="1" t="s">
        <v>397</v>
      </c>
      <c r="F140" s="1" t="s">
        <v>259</v>
      </c>
      <c r="G140" s="1" t="s">
        <v>88</v>
      </c>
      <c r="H140" s="1" t="s">
        <v>329</v>
      </c>
      <c r="I140" s="1" t="s">
        <v>446</v>
      </c>
      <c r="J140" s="1"/>
      <c r="K140" s="1"/>
      <c r="L140" s="2">
        <f t="shared" si="8"/>
        <v>46112</v>
      </c>
      <c r="M140" s="1" t="str">
        <f t="shared" ca="1" si="9"/>
        <v>CERRADO</v>
      </c>
      <c r="N140" s="1"/>
    </row>
    <row r="141" spans="1:14">
      <c r="A141" s="1">
        <v>138</v>
      </c>
      <c r="B141" s="2">
        <v>46107</v>
      </c>
      <c r="C141" s="1" t="s">
        <v>447</v>
      </c>
      <c r="D141" s="1" t="s">
        <v>448</v>
      </c>
      <c r="E141" s="1" t="s">
        <v>449</v>
      </c>
      <c r="F141" s="1" t="s">
        <v>450</v>
      </c>
      <c r="G141" s="1" t="s">
        <v>162</v>
      </c>
      <c r="H141" s="1" t="s">
        <v>451</v>
      </c>
      <c r="I141" s="1" t="s">
        <v>452</v>
      </c>
      <c r="J141" s="1"/>
      <c r="K141" s="1"/>
      <c r="L141" s="2">
        <f t="shared" si="8"/>
        <v>46112</v>
      </c>
      <c r="M141" s="1" t="str">
        <f t="shared" ca="1" si="9"/>
        <v>CERRADO</v>
      </c>
      <c r="N141" s="1"/>
    </row>
    <row r="142" spans="1:14">
      <c r="A142" s="1">
        <v>139</v>
      </c>
      <c r="B142" s="2">
        <v>46107</v>
      </c>
      <c r="C142" s="1" t="s">
        <v>453</v>
      </c>
      <c r="D142" s="1" t="s">
        <v>448</v>
      </c>
      <c r="E142" s="1" t="s">
        <v>449</v>
      </c>
      <c r="F142" s="1" t="s">
        <v>450</v>
      </c>
      <c r="G142" s="1" t="s">
        <v>33</v>
      </c>
      <c r="H142" s="1" t="s">
        <v>454</v>
      </c>
      <c r="I142" s="1" t="s">
        <v>452</v>
      </c>
      <c r="J142" s="1"/>
      <c r="K142" s="1"/>
      <c r="L142" s="2">
        <f t="shared" si="8"/>
        <v>46112</v>
      </c>
      <c r="M142" s="1" t="str">
        <f t="shared" ca="1" si="9"/>
        <v>CERRADO</v>
      </c>
      <c r="N142" s="1"/>
    </row>
    <row r="143" spans="1:14">
      <c r="A143" s="1">
        <v>140</v>
      </c>
      <c r="B143" s="2">
        <v>46107</v>
      </c>
      <c r="C143" s="1" t="s">
        <v>85</v>
      </c>
      <c r="D143" s="1" t="s">
        <v>455</v>
      </c>
      <c r="E143" s="1" t="s">
        <v>456</v>
      </c>
      <c r="F143" s="1" t="s">
        <v>248</v>
      </c>
      <c r="G143" s="1" t="s">
        <v>33</v>
      </c>
      <c r="H143" s="1" t="s">
        <v>94</v>
      </c>
      <c r="I143" s="1" t="s">
        <v>457</v>
      </c>
      <c r="J143" s="1"/>
      <c r="K143" s="1"/>
      <c r="L143" s="2">
        <f t="shared" si="8"/>
        <v>46112</v>
      </c>
      <c r="M143" s="1" t="str">
        <f t="shared" ca="1" si="9"/>
        <v>CERRADO</v>
      </c>
      <c r="N143" s="1"/>
    </row>
    <row r="144" spans="1:14">
      <c r="A144" s="1">
        <v>141</v>
      </c>
      <c r="B144" s="2">
        <v>46111</v>
      </c>
      <c r="C144" s="1" t="s">
        <v>49</v>
      </c>
      <c r="D144" s="1" t="s">
        <v>458</v>
      </c>
      <c r="E144" s="1" t="s">
        <v>119</v>
      </c>
      <c r="F144" s="1" t="s">
        <v>259</v>
      </c>
      <c r="G144" s="1" t="s">
        <v>121</v>
      </c>
      <c r="H144" s="1" t="s">
        <v>443</v>
      </c>
      <c r="I144" s="1" t="s">
        <v>459</v>
      </c>
      <c r="J144" s="1"/>
      <c r="K144" s="1"/>
      <c r="L144" s="2">
        <f t="shared" si="8"/>
        <v>46116</v>
      </c>
      <c r="M144" s="1" t="str">
        <f t="shared" ca="1" si="9"/>
        <v>CERRADO</v>
      </c>
      <c r="N144" s="1"/>
    </row>
    <row r="145" spans="1:14">
      <c r="A145" s="1">
        <v>142</v>
      </c>
      <c r="B145" s="2">
        <v>46111</v>
      </c>
      <c r="C145" s="1" t="s">
        <v>16</v>
      </c>
      <c r="D145" s="1" t="s">
        <v>460</v>
      </c>
      <c r="E145" s="1" t="s">
        <v>182</v>
      </c>
      <c r="F145" s="1" t="s">
        <v>259</v>
      </c>
      <c r="G145" s="1" t="s">
        <v>147</v>
      </c>
      <c r="H145" s="1" t="s">
        <v>244</v>
      </c>
      <c r="I145" s="1" t="s">
        <v>461</v>
      </c>
      <c r="J145" s="1"/>
      <c r="K145" s="1"/>
      <c r="L145" s="2">
        <f t="shared" si="8"/>
        <v>46116</v>
      </c>
      <c r="M145" s="1" t="str">
        <f t="shared" ca="1" si="9"/>
        <v>CERRADO</v>
      </c>
      <c r="N145" s="1"/>
    </row>
    <row r="146" spans="1:14">
      <c r="A146" s="1">
        <v>143</v>
      </c>
      <c r="B146" s="2">
        <v>46111</v>
      </c>
      <c r="C146" s="1" t="s">
        <v>431</v>
      </c>
      <c r="D146" s="1" t="s">
        <v>462</v>
      </c>
      <c r="E146" s="1" t="s">
        <v>182</v>
      </c>
      <c r="F146" s="1" t="s">
        <v>405</v>
      </c>
      <c r="G146" s="1" t="s">
        <v>147</v>
      </c>
      <c r="H146" s="1" t="s">
        <v>148</v>
      </c>
      <c r="I146" s="1" t="s">
        <v>463</v>
      </c>
      <c r="J146" s="1"/>
      <c r="K146" s="1"/>
      <c r="L146" s="2">
        <f t="shared" si="8"/>
        <v>46116</v>
      </c>
      <c r="M146" s="1" t="str">
        <f t="shared" ca="1" si="9"/>
        <v>CERRADO</v>
      </c>
      <c r="N146" s="1"/>
    </row>
    <row r="147" spans="1:14">
      <c r="A147" s="1">
        <v>144</v>
      </c>
      <c r="B147" s="2">
        <v>46111</v>
      </c>
      <c r="C147" s="1" t="s">
        <v>431</v>
      </c>
      <c r="D147" s="1" t="s">
        <v>464</v>
      </c>
      <c r="E147" s="1" t="s">
        <v>465</v>
      </c>
      <c r="F147" s="1" t="s">
        <v>466</v>
      </c>
      <c r="G147" s="1" t="s">
        <v>467</v>
      </c>
      <c r="H147" s="1" t="s">
        <v>468</v>
      </c>
      <c r="I147" s="1" t="s">
        <v>469</v>
      </c>
      <c r="J147" s="1"/>
      <c r="K147" s="1"/>
      <c r="L147" s="2">
        <f t="shared" si="8"/>
        <v>46116</v>
      </c>
      <c r="M147" s="1" t="str">
        <f t="shared" ca="1" si="9"/>
        <v>CERRADO</v>
      </c>
      <c r="N147" s="1"/>
    </row>
    <row r="148" spans="1:14">
      <c r="A148" s="1">
        <v>145</v>
      </c>
      <c r="B148" s="2">
        <v>46111</v>
      </c>
      <c r="C148" s="1" t="s">
        <v>16</v>
      </c>
      <c r="D148" s="1" t="s">
        <v>470</v>
      </c>
      <c r="E148" s="1" t="s">
        <v>471</v>
      </c>
      <c r="F148" s="1" t="s">
        <v>472</v>
      </c>
      <c r="G148" s="1" t="s">
        <v>33</v>
      </c>
      <c r="H148" s="1" t="s">
        <v>256</v>
      </c>
      <c r="I148" s="1" t="s">
        <v>473</v>
      </c>
      <c r="J148" s="1"/>
      <c r="K148" s="1"/>
      <c r="L148" s="2">
        <f t="shared" si="8"/>
        <v>46116</v>
      </c>
      <c r="M148" s="1" t="str">
        <f t="shared" ca="1" si="9"/>
        <v>CERRADO</v>
      </c>
      <c r="N148" s="1"/>
    </row>
    <row r="149" spans="1:14">
      <c r="A149" s="1">
        <v>146</v>
      </c>
      <c r="B149" s="2">
        <v>46112</v>
      </c>
      <c r="C149" s="1" t="s">
        <v>189</v>
      </c>
      <c r="D149" s="1" t="s">
        <v>474</v>
      </c>
      <c r="E149" s="1" t="s">
        <v>471</v>
      </c>
      <c r="F149" s="1" t="s">
        <v>475</v>
      </c>
      <c r="G149" s="1" t="s">
        <v>33</v>
      </c>
      <c r="H149" s="1" t="s">
        <v>256</v>
      </c>
      <c r="I149" s="1" t="s">
        <v>476</v>
      </c>
      <c r="J149" s="1"/>
      <c r="K149" s="1"/>
      <c r="L149" s="2">
        <f t="shared" si="8"/>
        <v>46117</v>
      </c>
      <c r="M149" s="1" t="str">
        <f t="shared" ca="1" si="9"/>
        <v>CERRADO</v>
      </c>
      <c r="N149" s="1"/>
    </row>
    <row r="150" spans="1:14">
      <c r="A150" s="1">
        <v>147</v>
      </c>
      <c r="B150" s="2">
        <v>46112</v>
      </c>
      <c r="C150" s="1" t="s">
        <v>16</v>
      </c>
      <c r="D150" s="1" t="s">
        <v>477</v>
      </c>
      <c r="E150" s="1" t="s">
        <v>471</v>
      </c>
      <c r="F150" s="1" t="s">
        <v>478</v>
      </c>
      <c r="G150" s="1" t="s">
        <v>33</v>
      </c>
      <c r="H150" s="1" t="s">
        <v>256</v>
      </c>
      <c r="I150" s="1" t="s">
        <v>479</v>
      </c>
      <c r="J150" s="1"/>
      <c r="K150" s="1"/>
      <c r="L150" s="2">
        <f t="shared" si="8"/>
        <v>46117</v>
      </c>
      <c r="M150" s="1" t="str">
        <f t="shared" ca="1" si="9"/>
        <v>CERRADO</v>
      </c>
      <c r="N150" s="1"/>
    </row>
    <row r="151" spans="1:14">
      <c r="A151" s="1">
        <v>148</v>
      </c>
      <c r="B151" s="2">
        <v>46112</v>
      </c>
      <c r="C151" s="1" t="s">
        <v>189</v>
      </c>
      <c r="D151" s="1" t="s">
        <v>480</v>
      </c>
      <c r="E151" s="1" t="s">
        <v>267</v>
      </c>
      <c r="F151" s="1" t="s">
        <v>478</v>
      </c>
      <c r="G151" s="1" t="s">
        <v>33</v>
      </c>
      <c r="H151" s="1" t="s">
        <v>256</v>
      </c>
      <c r="I151" s="1" t="s">
        <v>481</v>
      </c>
      <c r="J151" s="1"/>
      <c r="K151" s="1"/>
      <c r="L151" s="2">
        <f t="shared" si="8"/>
        <v>46117</v>
      </c>
      <c r="M151" s="1" t="str">
        <f t="shared" ca="1" si="9"/>
        <v>CERRADO</v>
      </c>
      <c r="N151" s="1"/>
    </row>
    <row r="152" spans="1:14">
      <c r="A152" s="1">
        <v>149</v>
      </c>
      <c r="B152" s="2">
        <v>46112</v>
      </c>
      <c r="C152" s="1" t="s">
        <v>16</v>
      </c>
      <c r="D152" s="1" t="s">
        <v>482</v>
      </c>
      <c r="E152" s="1" t="s">
        <v>267</v>
      </c>
      <c r="F152" s="1" t="s">
        <v>483</v>
      </c>
      <c r="G152" s="1" t="s">
        <v>33</v>
      </c>
      <c r="H152" s="1" t="s">
        <v>256</v>
      </c>
      <c r="I152" s="1" t="s">
        <v>484</v>
      </c>
      <c r="J152" s="1"/>
      <c r="K152" s="1"/>
      <c r="L152" s="2">
        <f t="shared" si="8"/>
        <v>46117</v>
      </c>
      <c r="M152" s="1" t="str">
        <f t="shared" ca="1" si="9"/>
        <v>CERRADO</v>
      </c>
      <c r="N152" s="1"/>
    </row>
    <row r="153" spans="1:14">
      <c r="A153" s="1">
        <v>150</v>
      </c>
      <c r="B153" s="2">
        <v>46112</v>
      </c>
      <c r="C153" s="1" t="s">
        <v>16</v>
      </c>
      <c r="D153" s="1" t="s">
        <v>485</v>
      </c>
      <c r="E153" s="1" t="s">
        <v>267</v>
      </c>
      <c r="F153" s="1" t="s">
        <v>486</v>
      </c>
      <c r="G153" s="1" t="s">
        <v>33</v>
      </c>
      <c r="H153" s="1" t="s">
        <v>256</v>
      </c>
      <c r="I153" s="1" t="s">
        <v>487</v>
      </c>
      <c r="J153" s="1"/>
      <c r="K153" s="1"/>
      <c r="L153" s="2">
        <f t="shared" si="8"/>
        <v>46117</v>
      </c>
      <c r="M153" s="1" t="str">
        <f t="shared" ca="1" si="9"/>
        <v>CERRADO</v>
      </c>
      <c r="N153" s="1"/>
    </row>
    <row r="154" spans="1:14">
      <c r="A154" s="1">
        <v>151</v>
      </c>
      <c r="B154" s="2">
        <v>46112</v>
      </c>
      <c r="C154" s="1" t="s">
        <v>16</v>
      </c>
      <c r="D154" s="1" t="s">
        <v>488</v>
      </c>
      <c r="E154" s="1" t="s">
        <v>267</v>
      </c>
      <c r="F154" s="1" t="s">
        <v>489</v>
      </c>
      <c r="G154" s="1" t="s">
        <v>33</v>
      </c>
      <c r="H154" s="1" t="s">
        <v>256</v>
      </c>
      <c r="I154" s="1" t="s">
        <v>490</v>
      </c>
      <c r="J154" s="1"/>
      <c r="K154" s="1"/>
      <c r="L154" s="2">
        <f t="shared" si="8"/>
        <v>46117</v>
      </c>
      <c r="M154" s="1" t="str">
        <f t="shared" ca="1" si="9"/>
        <v>CERRADO</v>
      </c>
      <c r="N154" s="1"/>
    </row>
    <row r="155" spans="1:14">
      <c r="A155" s="1">
        <v>152</v>
      </c>
      <c r="B155" s="2">
        <v>46112</v>
      </c>
      <c r="C155" s="1" t="s">
        <v>16</v>
      </c>
      <c r="D155" s="1" t="s">
        <v>491</v>
      </c>
      <c r="E155" s="1" t="s">
        <v>267</v>
      </c>
      <c r="F155" s="1" t="s">
        <v>478</v>
      </c>
      <c r="G155" s="1" t="s">
        <v>33</v>
      </c>
      <c r="H155" s="1" t="s">
        <v>256</v>
      </c>
      <c r="I155" s="1" t="s">
        <v>492</v>
      </c>
      <c r="J155" s="1"/>
      <c r="K155" s="1"/>
      <c r="L155" s="2">
        <f t="shared" si="8"/>
        <v>46117</v>
      </c>
      <c r="M155" s="1" t="str">
        <f t="shared" ca="1" si="9"/>
        <v>CERRADO</v>
      </c>
      <c r="N155" s="1"/>
    </row>
    <row r="156" spans="1:14">
      <c r="A156" s="1">
        <v>153</v>
      </c>
      <c r="B156" s="2">
        <v>46112</v>
      </c>
      <c r="C156" s="1" t="s">
        <v>16</v>
      </c>
      <c r="D156" s="1" t="s">
        <v>493</v>
      </c>
      <c r="E156" s="1" t="s">
        <v>267</v>
      </c>
      <c r="F156" s="1" t="s">
        <v>483</v>
      </c>
      <c r="G156" s="1" t="s">
        <v>33</v>
      </c>
      <c r="H156" s="1" t="s">
        <v>256</v>
      </c>
      <c r="I156" s="1" t="s">
        <v>494</v>
      </c>
      <c r="J156" s="1"/>
      <c r="K156" s="1"/>
      <c r="L156" s="2">
        <f t="shared" si="8"/>
        <v>46117</v>
      </c>
      <c r="M156" s="1" t="str">
        <f t="shared" ca="1" si="9"/>
        <v>CERRADO</v>
      </c>
      <c r="N156" s="1"/>
    </row>
    <row r="157" spans="1:14">
      <c r="A157" s="1">
        <v>154</v>
      </c>
      <c r="B157" s="2">
        <v>46112</v>
      </c>
      <c r="C157" s="1" t="s">
        <v>16</v>
      </c>
      <c r="D157" s="1" t="s">
        <v>495</v>
      </c>
      <c r="E157" s="1" t="s">
        <v>267</v>
      </c>
      <c r="F157" s="1" t="s">
        <v>496</v>
      </c>
      <c r="G157" s="1" t="s">
        <v>33</v>
      </c>
      <c r="H157" s="1" t="s">
        <v>135</v>
      </c>
      <c r="I157" s="1" t="s">
        <v>497</v>
      </c>
      <c r="J157" s="1"/>
      <c r="K157" s="1"/>
      <c r="L157" s="2">
        <f t="shared" si="8"/>
        <v>46117</v>
      </c>
      <c r="M157" s="1" t="str">
        <f t="shared" ca="1" si="9"/>
        <v>CERRADO</v>
      </c>
      <c r="N157" s="1"/>
    </row>
    <row r="158" spans="1:14" ht="28.8">
      <c r="A158" s="37">
        <v>155</v>
      </c>
      <c r="B158" s="38">
        <v>46118</v>
      </c>
      <c r="C158" s="37" t="s">
        <v>498</v>
      </c>
      <c r="D158" s="37" t="s">
        <v>499</v>
      </c>
      <c r="E158" s="37" t="s">
        <v>500</v>
      </c>
      <c r="F158" s="37" t="s">
        <v>501</v>
      </c>
      <c r="G158" s="37" t="s">
        <v>121</v>
      </c>
      <c r="H158" s="37" t="s">
        <v>502</v>
      </c>
      <c r="I158" s="37" t="s">
        <v>503</v>
      </c>
      <c r="J158" s="37"/>
      <c r="K158" s="38">
        <f>B158</f>
        <v>46118</v>
      </c>
      <c r="L158" s="38">
        <f>K158</f>
        <v>46118</v>
      </c>
      <c r="M158" s="40" t="str">
        <f ca="1">IF(L158&lt;&gt;"","CERRADO",IF(K158&gt;TODAY(),"EN PROCESO",IF(L158="","ABIERTO")))</f>
        <v>CERRADO</v>
      </c>
      <c r="N158" s="37"/>
    </row>
    <row r="159" spans="1:14">
      <c r="A159" s="1">
        <v>156</v>
      </c>
      <c r="B159" s="2">
        <v>46118</v>
      </c>
      <c r="C159" s="1" t="s">
        <v>498</v>
      </c>
      <c r="D159" s="1" t="s">
        <v>504</v>
      </c>
      <c r="E159" s="1" t="s">
        <v>128</v>
      </c>
      <c r="F159" s="1" t="s">
        <v>505</v>
      </c>
      <c r="G159" s="1" t="s">
        <v>147</v>
      </c>
      <c r="H159" s="1" t="s">
        <v>506</v>
      </c>
      <c r="I159" s="1" t="s">
        <v>507</v>
      </c>
      <c r="J159" s="1"/>
      <c r="K159" s="1"/>
      <c r="L159" s="2">
        <f t="shared" ref="L159:L216" si="10">B159+5</f>
        <v>46123</v>
      </c>
      <c r="M159" s="1" t="str">
        <f t="shared" ca="1" si="9"/>
        <v>CERRADO</v>
      </c>
      <c r="N159" s="1"/>
    </row>
    <row r="160" spans="1:14">
      <c r="A160" s="1">
        <v>157</v>
      </c>
      <c r="B160" s="2">
        <v>46118</v>
      </c>
      <c r="C160" s="1" t="s">
        <v>498</v>
      </c>
      <c r="D160" s="1" t="s">
        <v>508</v>
      </c>
      <c r="E160" s="1" t="s">
        <v>119</v>
      </c>
      <c r="F160" s="1" t="s">
        <v>509</v>
      </c>
      <c r="G160" s="1" t="s">
        <v>121</v>
      </c>
      <c r="H160" s="1" t="s">
        <v>502</v>
      </c>
      <c r="I160" s="1" t="s">
        <v>510</v>
      </c>
      <c r="J160" s="1"/>
      <c r="K160" s="1"/>
      <c r="L160" s="2">
        <f t="shared" si="10"/>
        <v>46123</v>
      </c>
      <c r="M160" s="1" t="str">
        <f t="shared" ca="1" si="9"/>
        <v>CERRADO</v>
      </c>
      <c r="N160" s="1"/>
    </row>
    <row r="161" spans="1:14">
      <c r="A161" s="1">
        <v>158</v>
      </c>
      <c r="B161" s="2">
        <v>46118</v>
      </c>
      <c r="C161" s="1" t="s">
        <v>498</v>
      </c>
      <c r="D161" s="1" t="s">
        <v>511</v>
      </c>
      <c r="E161" s="1" t="s">
        <v>119</v>
      </c>
      <c r="F161" s="1" t="s">
        <v>393</v>
      </c>
      <c r="G161" s="1" t="s">
        <v>121</v>
      </c>
      <c r="H161" s="1" t="s">
        <v>502</v>
      </c>
      <c r="I161" s="1" t="s">
        <v>512</v>
      </c>
      <c r="J161" s="1"/>
      <c r="K161" s="1"/>
      <c r="L161" s="2">
        <f t="shared" si="10"/>
        <v>46123</v>
      </c>
      <c r="M161" s="1" t="str">
        <f t="shared" ca="1" si="9"/>
        <v>CERRADO</v>
      </c>
      <c r="N161" s="1"/>
    </row>
    <row r="162" spans="1:14">
      <c r="A162" s="1">
        <v>159</v>
      </c>
      <c r="B162" s="2">
        <v>46118</v>
      </c>
      <c r="C162" s="1" t="s">
        <v>498</v>
      </c>
      <c r="D162" s="1" t="s">
        <v>513</v>
      </c>
      <c r="E162" s="1" t="s">
        <v>119</v>
      </c>
      <c r="F162" s="1" t="s">
        <v>514</v>
      </c>
      <c r="G162" s="1" t="s">
        <v>121</v>
      </c>
      <c r="H162" s="1" t="s">
        <v>502</v>
      </c>
      <c r="I162" s="1" t="s">
        <v>515</v>
      </c>
      <c r="J162" s="1"/>
      <c r="K162" s="1"/>
      <c r="L162" s="2">
        <f t="shared" si="10"/>
        <v>46123</v>
      </c>
      <c r="M162" s="1" t="str">
        <f t="shared" ca="1" si="9"/>
        <v>CERRADO</v>
      </c>
      <c r="N162" s="1"/>
    </row>
    <row r="163" spans="1:14">
      <c r="A163" s="1">
        <v>160</v>
      </c>
      <c r="B163" s="2">
        <v>46118</v>
      </c>
      <c r="C163" s="1" t="s">
        <v>498</v>
      </c>
      <c r="D163" s="1" t="s">
        <v>64</v>
      </c>
      <c r="E163" s="1" t="s">
        <v>119</v>
      </c>
      <c r="F163" s="1" t="s">
        <v>393</v>
      </c>
      <c r="G163" s="1" t="s">
        <v>121</v>
      </c>
      <c r="H163" s="1" t="s">
        <v>502</v>
      </c>
      <c r="I163" s="1" t="s">
        <v>516</v>
      </c>
      <c r="J163" s="1"/>
      <c r="K163" s="1"/>
      <c r="L163" s="2">
        <f t="shared" si="10"/>
        <v>46123</v>
      </c>
      <c r="M163" s="1" t="str">
        <f t="shared" ca="1" si="9"/>
        <v>CERRADO</v>
      </c>
      <c r="N163" s="1"/>
    </row>
    <row r="164" spans="1:14">
      <c r="A164" s="1">
        <v>161</v>
      </c>
      <c r="B164" s="2">
        <v>46120</v>
      </c>
      <c r="C164" s="1" t="s">
        <v>498</v>
      </c>
      <c r="D164" s="1" t="s">
        <v>517</v>
      </c>
      <c r="E164" s="1" t="s">
        <v>128</v>
      </c>
      <c r="F164" s="1" t="s">
        <v>83</v>
      </c>
      <c r="G164" s="1" t="s">
        <v>518</v>
      </c>
      <c r="H164" s="1" t="s">
        <v>519</v>
      </c>
      <c r="I164" s="1" t="s">
        <v>520</v>
      </c>
      <c r="J164" s="1"/>
      <c r="K164" s="1"/>
      <c r="L164" s="2">
        <f t="shared" si="10"/>
        <v>46125</v>
      </c>
      <c r="M164" s="1" t="str">
        <f t="shared" ca="1" si="9"/>
        <v>CERRADO</v>
      </c>
      <c r="N164" s="1"/>
    </row>
    <row r="165" spans="1:14">
      <c r="A165" s="1">
        <v>162</v>
      </c>
      <c r="B165" s="2">
        <v>46120</v>
      </c>
      <c r="C165" s="1" t="s">
        <v>498</v>
      </c>
      <c r="D165" s="1" t="s">
        <v>521</v>
      </c>
      <c r="E165" s="1" t="s">
        <v>522</v>
      </c>
      <c r="F165" s="1" t="s">
        <v>279</v>
      </c>
      <c r="G165" s="1" t="s">
        <v>152</v>
      </c>
      <c r="H165" s="1" t="s">
        <v>523</v>
      </c>
      <c r="I165" s="1" t="s">
        <v>524</v>
      </c>
      <c r="J165" s="1"/>
      <c r="K165" s="1"/>
      <c r="L165" s="2">
        <f t="shared" si="10"/>
        <v>46125</v>
      </c>
      <c r="M165" s="1" t="str">
        <f t="shared" ca="1" si="9"/>
        <v>CERRADO</v>
      </c>
      <c r="N165" s="1"/>
    </row>
    <row r="166" spans="1:14">
      <c r="A166" s="1">
        <v>163</v>
      </c>
      <c r="B166" s="2">
        <v>46120</v>
      </c>
      <c r="C166" s="1" t="s">
        <v>498</v>
      </c>
      <c r="D166" s="1" t="s">
        <v>64</v>
      </c>
      <c r="E166" s="1" t="s">
        <v>525</v>
      </c>
      <c r="F166" s="1" t="s">
        <v>393</v>
      </c>
      <c r="G166" s="1" t="s">
        <v>88</v>
      </c>
      <c r="H166" s="1" t="s">
        <v>329</v>
      </c>
      <c r="I166" s="1" t="s">
        <v>526</v>
      </c>
      <c r="J166" s="1"/>
      <c r="K166" s="1"/>
      <c r="L166" s="2">
        <f t="shared" si="10"/>
        <v>46125</v>
      </c>
      <c r="M166" s="1" t="str">
        <f t="shared" ca="1" si="9"/>
        <v>CERRADO</v>
      </c>
      <c r="N166" s="1"/>
    </row>
    <row r="167" spans="1:14">
      <c r="A167" s="1">
        <v>164</v>
      </c>
      <c r="B167" s="2">
        <v>46120</v>
      </c>
      <c r="C167" s="1" t="s">
        <v>527</v>
      </c>
      <c r="D167" s="1" t="s">
        <v>528</v>
      </c>
      <c r="E167" s="1" t="s">
        <v>529</v>
      </c>
      <c r="F167" s="1" t="s">
        <v>530</v>
      </c>
      <c r="G167" s="1" t="s">
        <v>518</v>
      </c>
      <c r="H167" s="1" t="s">
        <v>531</v>
      </c>
      <c r="I167" s="1" t="s">
        <v>532</v>
      </c>
      <c r="J167" s="1"/>
      <c r="K167" s="1"/>
      <c r="L167" s="2">
        <f t="shared" si="10"/>
        <v>46125</v>
      </c>
      <c r="M167" s="1" t="str">
        <f t="shared" ca="1" si="9"/>
        <v>CERRADO</v>
      </c>
      <c r="N167" s="1"/>
    </row>
    <row r="168" spans="1:14">
      <c r="A168" s="1">
        <v>165</v>
      </c>
      <c r="B168" s="2">
        <v>46121</v>
      </c>
      <c r="C168" s="1" t="s">
        <v>498</v>
      </c>
      <c r="D168" s="1" t="s">
        <v>533</v>
      </c>
      <c r="E168" s="1" t="s">
        <v>128</v>
      </c>
      <c r="F168" s="1" t="s">
        <v>514</v>
      </c>
      <c r="G168" s="1" t="s">
        <v>518</v>
      </c>
      <c r="H168" s="1" t="s">
        <v>534</v>
      </c>
      <c r="I168" s="1" t="s">
        <v>535</v>
      </c>
      <c r="J168" s="1"/>
      <c r="K168" s="1"/>
      <c r="L168" s="2">
        <f t="shared" si="10"/>
        <v>46126</v>
      </c>
      <c r="M168" s="1" t="str">
        <f t="shared" ca="1" si="9"/>
        <v>CERRADO</v>
      </c>
      <c r="N168" s="1"/>
    </row>
    <row r="169" spans="1:14">
      <c r="A169" s="1">
        <v>166</v>
      </c>
      <c r="B169" s="2">
        <v>46122</v>
      </c>
      <c r="C169" s="1" t="s">
        <v>498</v>
      </c>
      <c r="D169" s="1" t="s">
        <v>536</v>
      </c>
      <c r="E169" s="1" t="s">
        <v>119</v>
      </c>
      <c r="F169" s="1" t="s">
        <v>279</v>
      </c>
      <c r="G169" s="1" t="s">
        <v>518</v>
      </c>
      <c r="H169" s="1" t="s">
        <v>537</v>
      </c>
      <c r="I169" s="1" t="s">
        <v>538</v>
      </c>
      <c r="J169" s="1"/>
      <c r="K169" s="1"/>
      <c r="L169" s="2">
        <f t="shared" si="10"/>
        <v>46127</v>
      </c>
      <c r="M169" s="1" t="str">
        <f t="shared" ca="1" si="9"/>
        <v>CERRADO</v>
      </c>
      <c r="N169" s="1"/>
    </row>
    <row r="170" spans="1:14">
      <c r="A170" s="1">
        <v>167</v>
      </c>
      <c r="B170" s="2">
        <v>46122</v>
      </c>
      <c r="C170" s="1" t="s">
        <v>498</v>
      </c>
      <c r="D170" s="1" t="s">
        <v>64</v>
      </c>
      <c r="E170" s="1" t="s">
        <v>119</v>
      </c>
      <c r="F170" s="1" t="s">
        <v>539</v>
      </c>
      <c r="G170" s="1" t="s">
        <v>121</v>
      </c>
      <c r="H170" s="1" t="s">
        <v>502</v>
      </c>
      <c r="I170" s="1" t="s">
        <v>540</v>
      </c>
      <c r="J170" s="1"/>
      <c r="K170" s="1"/>
      <c r="L170" s="2">
        <f t="shared" si="10"/>
        <v>46127</v>
      </c>
      <c r="M170" s="1" t="str">
        <f t="shared" ca="1" si="9"/>
        <v>CERRADO</v>
      </c>
      <c r="N170" s="1"/>
    </row>
    <row r="171" spans="1:14">
      <c r="A171" s="1">
        <v>168</v>
      </c>
      <c r="B171" s="2">
        <v>46125</v>
      </c>
      <c r="C171" s="1" t="s">
        <v>498</v>
      </c>
      <c r="D171" s="1" t="s">
        <v>541</v>
      </c>
      <c r="E171" s="1" t="s">
        <v>542</v>
      </c>
      <c r="F171" s="1" t="s">
        <v>543</v>
      </c>
      <c r="G171" s="1" t="s">
        <v>518</v>
      </c>
      <c r="H171" s="1" t="s">
        <v>534</v>
      </c>
      <c r="I171" s="1" t="s">
        <v>544</v>
      </c>
      <c r="J171" s="1"/>
      <c r="K171" s="1"/>
      <c r="L171" s="2">
        <f t="shared" si="10"/>
        <v>46130</v>
      </c>
      <c r="M171" s="1" t="str">
        <f t="shared" ca="1" si="9"/>
        <v>CERRADO</v>
      </c>
      <c r="N171" s="1"/>
    </row>
    <row r="172" spans="1:14">
      <c r="A172" s="1">
        <v>169</v>
      </c>
      <c r="B172" s="2">
        <v>46125</v>
      </c>
      <c r="C172" s="1" t="s">
        <v>498</v>
      </c>
      <c r="D172" s="1" t="s">
        <v>545</v>
      </c>
      <c r="E172" s="1" t="s">
        <v>128</v>
      </c>
      <c r="F172" s="1" t="s">
        <v>370</v>
      </c>
      <c r="G172" s="1" t="s">
        <v>518</v>
      </c>
      <c r="H172" s="1" t="s">
        <v>534</v>
      </c>
      <c r="I172" s="1" t="s">
        <v>546</v>
      </c>
      <c r="J172" s="1"/>
      <c r="K172" s="1"/>
      <c r="L172" s="2">
        <f t="shared" si="10"/>
        <v>46130</v>
      </c>
      <c r="M172" s="1" t="str">
        <f t="shared" ca="1" si="9"/>
        <v>CERRADO</v>
      </c>
      <c r="N172" s="1"/>
    </row>
    <row r="173" spans="1:14">
      <c r="A173" s="1">
        <v>170</v>
      </c>
      <c r="B173" s="2">
        <v>46126</v>
      </c>
      <c r="C173" s="1" t="s">
        <v>498</v>
      </c>
      <c r="D173" s="1" t="s">
        <v>547</v>
      </c>
      <c r="E173" s="1" t="s">
        <v>128</v>
      </c>
      <c r="F173" s="1" t="s">
        <v>548</v>
      </c>
      <c r="G173" s="1" t="s">
        <v>518</v>
      </c>
      <c r="H173" s="1" t="s">
        <v>534</v>
      </c>
      <c r="I173" s="1" t="s">
        <v>549</v>
      </c>
      <c r="J173" s="1"/>
      <c r="K173" s="1"/>
      <c r="L173" s="2">
        <f t="shared" si="10"/>
        <v>46131</v>
      </c>
      <c r="M173" s="1" t="str">
        <f t="shared" ca="1" si="9"/>
        <v>CERRADO</v>
      </c>
      <c r="N173" s="1"/>
    </row>
    <row r="174" spans="1:14">
      <c r="A174" s="1">
        <v>171</v>
      </c>
      <c r="B174" s="2">
        <v>46126</v>
      </c>
      <c r="C174" s="1" t="s">
        <v>527</v>
      </c>
      <c r="D174" s="1" t="s">
        <v>550</v>
      </c>
      <c r="E174" s="1" t="s">
        <v>128</v>
      </c>
      <c r="F174" s="1" t="s">
        <v>551</v>
      </c>
      <c r="G174" s="1" t="s">
        <v>518</v>
      </c>
      <c r="H174" s="1" t="s">
        <v>534</v>
      </c>
      <c r="I174" s="1" t="s">
        <v>552</v>
      </c>
      <c r="J174" s="1"/>
      <c r="K174" s="1"/>
      <c r="L174" s="2">
        <f t="shared" si="10"/>
        <v>46131</v>
      </c>
      <c r="M174" s="1" t="str">
        <f t="shared" ca="1" si="9"/>
        <v>CERRADO</v>
      </c>
      <c r="N174" s="1"/>
    </row>
    <row r="175" spans="1:14">
      <c r="A175" s="1">
        <v>172</v>
      </c>
      <c r="B175" s="2">
        <v>46126</v>
      </c>
      <c r="C175" s="1" t="s">
        <v>527</v>
      </c>
      <c r="D175" s="1" t="s">
        <v>553</v>
      </c>
      <c r="E175" s="1" t="s">
        <v>128</v>
      </c>
      <c r="F175" s="1" t="s">
        <v>554</v>
      </c>
      <c r="G175" s="1" t="s">
        <v>518</v>
      </c>
      <c r="H175" s="1" t="s">
        <v>519</v>
      </c>
      <c r="I175" s="1" t="s">
        <v>555</v>
      </c>
      <c r="J175" s="1"/>
      <c r="K175" s="1"/>
      <c r="L175" s="2">
        <f t="shared" si="10"/>
        <v>46131</v>
      </c>
      <c r="M175" s="1" t="str">
        <f t="shared" ca="1" si="9"/>
        <v>CERRADO</v>
      </c>
      <c r="N175" s="1"/>
    </row>
    <row r="176" spans="1:14">
      <c r="A176" s="1">
        <v>173</v>
      </c>
      <c r="B176" s="2">
        <v>46128</v>
      </c>
      <c r="C176" s="1" t="s">
        <v>498</v>
      </c>
      <c r="D176" s="1" t="s">
        <v>556</v>
      </c>
      <c r="E176" s="1" t="s">
        <v>128</v>
      </c>
      <c r="F176" s="1" t="s">
        <v>514</v>
      </c>
      <c r="G176" s="1" t="s">
        <v>518</v>
      </c>
      <c r="H176" s="1" t="s">
        <v>557</v>
      </c>
      <c r="I176" s="1" t="s">
        <v>558</v>
      </c>
      <c r="J176" s="1"/>
      <c r="K176" s="1"/>
      <c r="L176" s="2">
        <f t="shared" si="10"/>
        <v>46133</v>
      </c>
      <c r="M176" s="1" t="str">
        <f t="shared" ca="1" si="9"/>
        <v>CERRADO</v>
      </c>
      <c r="N176" s="1"/>
    </row>
    <row r="177" spans="1:14">
      <c r="A177" s="1">
        <v>174</v>
      </c>
      <c r="B177" s="2">
        <v>46128</v>
      </c>
      <c r="C177" s="1" t="s">
        <v>527</v>
      </c>
      <c r="D177" s="1" t="s">
        <v>559</v>
      </c>
      <c r="E177" s="1" t="s">
        <v>128</v>
      </c>
      <c r="F177" s="1" t="s">
        <v>194</v>
      </c>
      <c r="G177" s="1" t="s">
        <v>518</v>
      </c>
      <c r="H177" s="1" t="s">
        <v>519</v>
      </c>
      <c r="I177" s="1" t="s">
        <v>555</v>
      </c>
      <c r="J177" s="1"/>
      <c r="K177" s="1"/>
      <c r="L177" s="2">
        <f t="shared" si="10"/>
        <v>46133</v>
      </c>
      <c r="M177" s="1" t="str">
        <f t="shared" ref="M177:M216" ca="1" si="11">IF(L177&lt;TODAY(),"CERRADO","ABIERTO")</f>
        <v>CERRADO</v>
      </c>
      <c r="N177" s="1"/>
    </row>
    <row r="178" spans="1:14">
      <c r="A178" s="1">
        <v>175</v>
      </c>
      <c r="B178" s="2">
        <v>46128</v>
      </c>
      <c r="C178" s="1" t="s">
        <v>498</v>
      </c>
      <c r="D178" s="1" t="s">
        <v>560</v>
      </c>
      <c r="E178" s="1" t="s">
        <v>128</v>
      </c>
      <c r="F178" s="1" t="s">
        <v>486</v>
      </c>
      <c r="G178" s="1" t="s">
        <v>518</v>
      </c>
      <c r="H178" s="1" t="s">
        <v>534</v>
      </c>
      <c r="I178" s="1" t="s">
        <v>561</v>
      </c>
      <c r="J178" s="1"/>
      <c r="K178" s="1"/>
      <c r="L178" s="2">
        <f t="shared" si="10"/>
        <v>46133</v>
      </c>
      <c r="M178" s="1" t="str">
        <f t="shared" ca="1" si="11"/>
        <v>CERRADO</v>
      </c>
      <c r="N178" s="1"/>
    </row>
    <row r="179" spans="1:14">
      <c r="A179" s="1">
        <v>176</v>
      </c>
      <c r="B179" s="2">
        <v>46128</v>
      </c>
      <c r="C179" s="1" t="s">
        <v>498</v>
      </c>
      <c r="D179" s="1" t="s">
        <v>562</v>
      </c>
      <c r="E179" s="1" t="s">
        <v>128</v>
      </c>
      <c r="F179" s="1" t="s">
        <v>563</v>
      </c>
      <c r="G179" s="1" t="s">
        <v>518</v>
      </c>
      <c r="H179" s="1" t="s">
        <v>534</v>
      </c>
      <c r="I179" s="1" t="s">
        <v>564</v>
      </c>
      <c r="J179" s="1"/>
      <c r="K179" s="1"/>
      <c r="L179" s="2">
        <f t="shared" si="10"/>
        <v>46133</v>
      </c>
      <c r="M179" s="1" t="str">
        <f t="shared" ca="1" si="11"/>
        <v>CERRADO</v>
      </c>
      <c r="N179" s="1"/>
    </row>
    <row r="180" spans="1:14">
      <c r="A180" s="1">
        <v>177</v>
      </c>
      <c r="B180" s="2">
        <v>46128</v>
      </c>
      <c r="C180" s="1" t="s">
        <v>527</v>
      </c>
      <c r="D180" s="1" t="s">
        <v>565</v>
      </c>
      <c r="E180" s="1" t="s">
        <v>128</v>
      </c>
      <c r="F180" s="1" t="s">
        <v>566</v>
      </c>
      <c r="G180" s="1" t="s">
        <v>518</v>
      </c>
      <c r="H180" s="1" t="s">
        <v>567</v>
      </c>
      <c r="I180" s="1" t="s">
        <v>568</v>
      </c>
      <c r="J180" s="1"/>
      <c r="K180" s="1"/>
      <c r="L180" s="2">
        <f t="shared" si="10"/>
        <v>46133</v>
      </c>
      <c r="M180" s="1" t="str">
        <f t="shared" ca="1" si="11"/>
        <v>CERRADO</v>
      </c>
      <c r="N180" s="1"/>
    </row>
    <row r="181" spans="1:14">
      <c r="A181" s="1">
        <v>178</v>
      </c>
      <c r="B181" s="2">
        <v>46128</v>
      </c>
      <c r="C181" s="1" t="s">
        <v>527</v>
      </c>
      <c r="D181" s="1" t="s">
        <v>569</v>
      </c>
      <c r="E181" s="1" t="s">
        <v>128</v>
      </c>
      <c r="F181" s="1" t="s">
        <v>551</v>
      </c>
      <c r="G181" s="1" t="s">
        <v>33</v>
      </c>
      <c r="H181" s="1" t="s">
        <v>567</v>
      </c>
      <c r="I181" s="1" t="s">
        <v>570</v>
      </c>
      <c r="J181" s="1"/>
      <c r="K181" s="1"/>
      <c r="L181" s="2">
        <f t="shared" si="10"/>
        <v>46133</v>
      </c>
      <c r="M181" s="1" t="str">
        <f t="shared" ca="1" si="11"/>
        <v>CERRADO</v>
      </c>
      <c r="N181" s="1"/>
    </row>
    <row r="182" spans="1:14">
      <c r="A182" s="1">
        <v>179</v>
      </c>
      <c r="B182" s="2">
        <v>46128</v>
      </c>
      <c r="C182" s="1" t="s">
        <v>498</v>
      </c>
      <c r="D182" s="1" t="s">
        <v>571</v>
      </c>
      <c r="E182" s="1" t="s">
        <v>128</v>
      </c>
      <c r="F182" s="1" t="s">
        <v>572</v>
      </c>
      <c r="G182" s="1" t="s">
        <v>518</v>
      </c>
      <c r="H182" s="1" t="s">
        <v>519</v>
      </c>
      <c r="I182" s="1" t="s">
        <v>573</v>
      </c>
      <c r="J182" s="1"/>
      <c r="K182" s="1"/>
      <c r="L182" s="2">
        <f t="shared" si="10"/>
        <v>46133</v>
      </c>
      <c r="M182" s="1" t="str">
        <f t="shared" ca="1" si="11"/>
        <v>CERRADO</v>
      </c>
      <c r="N182" s="1"/>
    </row>
    <row r="183" spans="1:14">
      <c r="A183" s="1">
        <v>180</v>
      </c>
      <c r="B183" s="2">
        <v>46128</v>
      </c>
      <c r="C183" s="1" t="s">
        <v>498</v>
      </c>
      <c r="D183" s="1" t="s">
        <v>574</v>
      </c>
      <c r="E183" s="1" t="s">
        <v>128</v>
      </c>
      <c r="F183" s="1" t="s">
        <v>572</v>
      </c>
      <c r="G183" s="1" t="s">
        <v>518</v>
      </c>
      <c r="H183" s="1" t="s">
        <v>519</v>
      </c>
      <c r="I183" s="1" t="s">
        <v>575</v>
      </c>
      <c r="J183" s="1"/>
      <c r="K183" s="1"/>
      <c r="L183" s="2">
        <f t="shared" si="10"/>
        <v>46133</v>
      </c>
      <c r="M183" s="1" t="str">
        <f t="shared" ca="1" si="11"/>
        <v>CERRADO</v>
      </c>
      <c r="N183" s="1"/>
    </row>
    <row r="184" spans="1:14">
      <c r="A184" s="1">
        <v>181</v>
      </c>
      <c r="B184" s="2">
        <v>46130</v>
      </c>
      <c r="C184" s="1" t="s">
        <v>498</v>
      </c>
      <c r="D184" s="1" t="s">
        <v>533</v>
      </c>
      <c r="E184" s="1" t="s">
        <v>119</v>
      </c>
      <c r="F184" s="1" t="s">
        <v>576</v>
      </c>
      <c r="G184" s="1" t="s">
        <v>518</v>
      </c>
      <c r="H184" s="1" t="s">
        <v>537</v>
      </c>
      <c r="I184" s="1" t="s">
        <v>577</v>
      </c>
      <c r="J184" s="1"/>
      <c r="K184" s="1"/>
      <c r="L184" s="2">
        <f t="shared" si="10"/>
        <v>46135</v>
      </c>
      <c r="M184" s="1" t="str">
        <f t="shared" ca="1" si="11"/>
        <v>CERRADO</v>
      </c>
      <c r="N184" s="1"/>
    </row>
    <row r="185" spans="1:14">
      <c r="A185" s="1">
        <v>182</v>
      </c>
      <c r="B185" s="2">
        <v>46132</v>
      </c>
      <c r="C185" s="1" t="s">
        <v>498</v>
      </c>
      <c r="D185" s="1" t="s">
        <v>578</v>
      </c>
      <c r="E185" s="1" t="s">
        <v>542</v>
      </c>
      <c r="F185" s="1" t="s">
        <v>551</v>
      </c>
      <c r="G185" s="1" t="s">
        <v>518</v>
      </c>
      <c r="H185" s="1" t="s">
        <v>534</v>
      </c>
      <c r="I185" s="1" t="s">
        <v>579</v>
      </c>
      <c r="J185" s="1"/>
      <c r="K185" s="1"/>
      <c r="L185" s="2">
        <f t="shared" si="10"/>
        <v>46137</v>
      </c>
      <c r="M185" s="1" t="str">
        <f t="shared" ca="1" si="11"/>
        <v>CERRADO</v>
      </c>
      <c r="N185" s="1"/>
    </row>
    <row r="186" spans="1:14">
      <c r="A186" s="1">
        <v>183</v>
      </c>
      <c r="B186" s="2">
        <v>46132</v>
      </c>
      <c r="C186" s="1" t="s">
        <v>498</v>
      </c>
      <c r="D186" s="1" t="s">
        <v>578</v>
      </c>
      <c r="E186" s="1" t="s">
        <v>128</v>
      </c>
      <c r="F186" s="1" t="s">
        <v>551</v>
      </c>
      <c r="G186" s="1" t="s">
        <v>518</v>
      </c>
      <c r="H186" s="1" t="s">
        <v>534</v>
      </c>
      <c r="I186" s="1" t="s">
        <v>579</v>
      </c>
      <c r="J186" s="1"/>
      <c r="K186" s="1"/>
      <c r="L186" s="2">
        <f t="shared" si="10"/>
        <v>46137</v>
      </c>
      <c r="M186" s="1" t="str">
        <f t="shared" ca="1" si="11"/>
        <v>CERRADO</v>
      </c>
      <c r="N186" s="1"/>
    </row>
    <row r="187" spans="1:14">
      <c r="A187" s="1">
        <v>184</v>
      </c>
      <c r="B187" s="2">
        <v>46132</v>
      </c>
      <c r="C187" s="1" t="s">
        <v>498</v>
      </c>
      <c r="D187" s="1" t="s">
        <v>580</v>
      </c>
      <c r="E187" s="1" t="s">
        <v>128</v>
      </c>
      <c r="F187" s="1" t="s">
        <v>581</v>
      </c>
      <c r="G187" s="1" t="s">
        <v>518</v>
      </c>
      <c r="H187" s="1" t="s">
        <v>519</v>
      </c>
      <c r="I187" s="1" t="s">
        <v>582</v>
      </c>
      <c r="J187" s="1"/>
      <c r="K187" s="1"/>
      <c r="L187" s="2">
        <f t="shared" si="10"/>
        <v>46137</v>
      </c>
      <c r="M187" s="1" t="str">
        <f t="shared" ca="1" si="11"/>
        <v>CERRADO</v>
      </c>
      <c r="N187" s="1"/>
    </row>
    <row r="188" spans="1:14">
      <c r="A188" s="1">
        <v>185</v>
      </c>
      <c r="B188" s="2">
        <v>46132</v>
      </c>
      <c r="C188" s="1" t="s">
        <v>498</v>
      </c>
      <c r="D188" s="1" t="s">
        <v>583</v>
      </c>
      <c r="E188" s="1" t="s">
        <v>128</v>
      </c>
      <c r="F188" s="1" t="s">
        <v>514</v>
      </c>
      <c r="G188" s="1" t="s">
        <v>518</v>
      </c>
      <c r="H188" s="1" t="s">
        <v>534</v>
      </c>
      <c r="I188" s="1" t="s">
        <v>584</v>
      </c>
      <c r="J188" s="1"/>
      <c r="K188" s="1"/>
      <c r="L188" s="2">
        <f t="shared" si="10"/>
        <v>46137</v>
      </c>
      <c r="M188" s="1" t="str">
        <f t="shared" ca="1" si="11"/>
        <v>CERRADO</v>
      </c>
      <c r="N188" s="1"/>
    </row>
    <row r="189" spans="1:14">
      <c r="A189" s="1">
        <v>186</v>
      </c>
      <c r="B189" s="2">
        <v>46133</v>
      </c>
      <c r="C189" s="1" t="s">
        <v>527</v>
      </c>
      <c r="D189" s="1" t="s">
        <v>585</v>
      </c>
      <c r="E189" s="1" t="s">
        <v>586</v>
      </c>
      <c r="F189" s="1" t="s">
        <v>587</v>
      </c>
      <c r="G189" s="1" t="s">
        <v>518</v>
      </c>
      <c r="H189" s="1" t="s">
        <v>588</v>
      </c>
      <c r="I189" s="1" t="s">
        <v>589</v>
      </c>
      <c r="J189" s="1"/>
      <c r="K189" s="1"/>
      <c r="L189" s="2">
        <f t="shared" si="10"/>
        <v>46138</v>
      </c>
      <c r="M189" s="1" t="str">
        <f t="shared" ca="1" si="11"/>
        <v>CERRADO</v>
      </c>
      <c r="N189" s="1"/>
    </row>
    <row r="190" spans="1:14">
      <c r="A190" s="1">
        <v>187</v>
      </c>
      <c r="B190" s="2">
        <v>46133</v>
      </c>
      <c r="C190" s="1" t="s">
        <v>527</v>
      </c>
      <c r="D190" s="1" t="s">
        <v>590</v>
      </c>
      <c r="E190" s="1" t="s">
        <v>128</v>
      </c>
      <c r="F190" s="1" t="s">
        <v>591</v>
      </c>
      <c r="G190" s="1" t="s">
        <v>518</v>
      </c>
      <c r="H190" s="1" t="s">
        <v>592</v>
      </c>
      <c r="I190" s="1" t="s">
        <v>593</v>
      </c>
      <c r="J190" s="1"/>
      <c r="K190" s="1"/>
      <c r="L190" s="2">
        <f t="shared" si="10"/>
        <v>46138</v>
      </c>
      <c r="M190" s="1" t="str">
        <f t="shared" ca="1" si="11"/>
        <v>CERRADO</v>
      </c>
      <c r="N190" s="1"/>
    </row>
    <row r="191" spans="1:14">
      <c r="A191" s="1">
        <v>188</v>
      </c>
      <c r="B191" s="2">
        <v>46133</v>
      </c>
      <c r="C191" s="1" t="s">
        <v>498</v>
      </c>
      <c r="D191" s="1" t="s">
        <v>594</v>
      </c>
      <c r="E191" s="1" t="s">
        <v>128</v>
      </c>
      <c r="F191" s="1" t="s">
        <v>595</v>
      </c>
      <c r="G191" s="1" t="s">
        <v>518</v>
      </c>
      <c r="H191" s="1" t="s">
        <v>534</v>
      </c>
      <c r="I191" s="1" t="s">
        <v>596</v>
      </c>
      <c r="J191" s="1"/>
      <c r="K191" s="1"/>
      <c r="L191" s="2">
        <f t="shared" si="10"/>
        <v>46138</v>
      </c>
      <c r="M191" s="1" t="str">
        <f t="shared" ca="1" si="11"/>
        <v>CERRADO</v>
      </c>
      <c r="N191" s="1"/>
    </row>
    <row r="192" spans="1:14">
      <c r="A192" s="1">
        <v>189</v>
      </c>
      <c r="B192" s="2">
        <v>46135</v>
      </c>
      <c r="C192" s="1" t="s">
        <v>498</v>
      </c>
      <c r="D192" s="1" t="s">
        <v>597</v>
      </c>
      <c r="E192" s="1" t="s">
        <v>128</v>
      </c>
      <c r="F192" s="1" t="s">
        <v>598</v>
      </c>
      <c r="G192" s="1" t="s">
        <v>518</v>
      </c>
      <c r="H192" s="1" t="s">
        <v>534</v>
      </c>
      <c r="I192" s="1" t="s">
        <v>599</v>
      </c>
      <c r="J192" s="1"/>
      <c r="K192" s="1"/>
      <c r="L192" s="2">
        <f t="shared" si="10"/>
        <v>46140</v>
      </c>
      <c r="M192" s="1" t="str">
        <f t="shared" ca="1" si="11"/>
        <v>CERRADO</v>
      </c>
      <c r="N192" s="1"/>
    </row>
    <row r="193" spans="1:14">
      <c r="A193" s="1">
        <v>190</v>
      </c>
      <c r="B193" s="2">
        <v>46135</v>
      </c>
      <c r="C193" s="1" t="s">
        <v>498</v>
      </c>
      <c r="D193" s="1" t="s">
        <v>600</v>
      </c>
      <c r="E193" s="1" t="s">
        <v>147</v>
      </c>
      <c r="F193" s="1" t="s">
        <v>601</v>
      </c>
      <c r="G193" s="1" t="s">
        <v>147</v>
      </c>
      <c r="H193" s="1" t="s">
        <v>506</v>
      </c>
      <c r="I193" s="1" t="s">
        <v>602</v>
      </c>
      <c r="J193" s="1"/>
      <c r="K193" s="1"/>
      <c r="L193" s="2">
        <f t="shared" si="10"/>
        <v>46140</v>
      </c>
      <c r="M193" s="1" t="str">
        <f t="shared" ca="1" si="11"/>
        <v>CERRADO</v>
      </c>
      <c r="N193" s="1"/>
    </row>
    <row r="194" spans="1:14">
      <c r="A194" s="1">
        <v>191</v>
      </c>
      <c r="B194" s="2">
        <v>46135</v>
      </c>
      <c r="C194" s="1" t="s">
        <v>498</v>
      </c>
      <c r="D194" s="1" t="s">
        <v>603</v>
      </c>
      <c r="E194" s="1" t="s">
        <v>314</v>
      </c>
      <c r="F194" s="1" t="s">
        <v>604</v>
      </c>
      <c r="G194" s="1" t="s">
        <v>152</v>
      </c>
      <c r="H194" s="1" t="s">
        <v>315</v>
      </c>
      <c r="I194" s="1" t="s">
        <v>605</v>
      </c>
      <c r="J194" s="1"/>
      <c r="K194" s="1"/>
      <c r="L194" s="2">
        <f t="shared" si="10"/>
        <v>46140</v>
      </c>
      <c r="M194" s="1" t="str">
        <f t="shared" ca="1" si="11"/>
        <v>CERRADO</v>
      </c>
      <c r="N194" s="1"/>
    </row>
    <row r="195" spans="1:14">
      <c r="A195" s="1">
        <v>192</v>
      </c>
      <c r="B195" s="2">
        <v>46136</v>
      </c>
      <c r="C195" s="1" t="s">
        <v>527</v>
      </c>
      <c r="D195" s="1" t="s">
        <v>606</v>
      </c>
      <c r="E195" s="1" t="s">
        <v>607</v>
      </c>
      <c r="F195" s="1" t="s">
        <v>551</v>
      </c>
      <c r="G195" s="1" t="s">
        <v>33</v>
      </c>
      <c r="H195" s="1" t="s">
        <v>608</v>
      </c>
      <c r="I195" s="1" t="s">
        <v>609</v>
      </c>
      <c r="J195" s="1"/>
      <c r="K195" s="1"/>
      <c r="L195" s="2">
        <f t="shared" si="10"/>
        <v>46141</v>
      </c>
      <c r="M195" s="1" t="str">
        <f t="shared" ca="1" si="11"/>
        <v>CERRADO</v>
      </c>
      <c r="N195" s="1"/>
    </row>
    <row r="196" spans="1:14">
      <c r="A196" s="1">
        <v>193</v>
      </c>
      <c r="B196" s="2">
        <v>46136</v>
      </c>
      <c r="C196" s="1" t="s">
        <v>498</v>
      </c>
      <c r="D196" s="1" t="s">
        <v>610</v>
      </c>
      <c r="E196" s="1" t="s">
        <v>607</v>
      </c>
      <c r="F196" s="1" t="s">
        <v>486</v>
      </c>
      <c r="G196" s="1" t="s">
        <v>518</v>
      </c>
      <c r="H196" s="1" t="s">
        <v>608</v>
      </c>
      <c r="I196" s="1" t="s">
        <v>611</v>
      </c>
      <c r="J196" s="1"/>
      <c r="K196" s="1"/>
      <c r="L196" s="2">
        <f t="shared" si="10"/>
        <v>46141</v>
      </c>
      <c r="M196" s="1" t="str">
        <f t="shared" ca="1" si="11"/>
        <v>CERRADO</v>
      </c>
      <c r="N196" s="1"/>
    </row>
    <row r="197" spans="1:14">
      <c r="A197" s="1">
        <v>194</v>
      </c>
      <c r="B197" s="2">
        <v>46136</v>
      </c>
      <c r="C197" s="1" t="s">
        <v>498</v>
      </c>
      <c r="D197" s="1" t="s">
        <v>612</v>
      </c>
      <c r="E197" s="1" t="s">
        <v>613</v>
      </c>
      <c r="F197" s="1" t="s">
        <v>614</v>
      </c>
      <c r="G197" s="1" t="s">
        <v>518</v>
      </c>
      <c r="H197" s="1" t="s">
        <v>534</v>
      </c>
      <c r="I197" s="1" t="s">
        <v>615</v>
      </c>
      <c r="J197" s="1"/>
      <c r="K197" s="1"/>
      <c r="L197" s="2">
        <f t="shared" si="10"/>
        <v>46141</v>
      </c>
      <c r="M197" s="1" t="str">
        <f t="shared" ca="1" si="11"/>
        <v>CERRADO</v>
      </c>
      <c r="N197" s="1"/>
    </row>
    <row r="198" spans="1:14">
      <c r="A198" s="1">
        <v>195</v>
      </c>
      <c r="B198" s="2">
        <v>46136</v>
      </c>
      <c r="C198" s="1" t="s">
        <v>498</v>
      </c>
      <c r="D198" s="1" t="s">
        <v>616</v>
      </c>
      <c r="E198" s="1" t="s">
        <v>119</v>
      </c>
      <c r="F198" s="1" t="s">
        <v>617</v>
      </c>
      <c r="G198" s="1" t="s">
        <v>121</v>
      </c>
      <c r="H198" s="1" t="s">
        <v>618</v>
      </c>
      <c r="I198" s="1" t="s">
        <v>619</v>
      </c>
      <c r="J198" s="1"/>
      <c r="K198" s="1"/>
      <c r="L198" s="2">
        <f t="shared" si="10"/>
        <v>46141</v>
      </c>
      <c r="M198" s="1" t="str">
        <f t="shared" ca="1" si="11"/>
        <v>CERRADO</v>
      </c>
      <c r="N198" s="1"/>
    </row>
    <row r="199" spans="1:14">
      <c r="A199" s="1">
        <v>196</v>
      </c>
      <c r="B199" s="2">
        <v>46136</v>
      </c>
      <c r="C199" s="1" t="s">
        <v>498</v>
      </c>
      <c r="D199" s="1" t="s">
        <v>620</v>
      </c>
      <c r="E199" s="1" t="s">
        <v>119</v>
      </c>
      <c r="F199" s="1" t="s">
        <v>572</v>
      </c>
      <c r="G199" s="1" t="s">
        <v>121</v>
      </c>
      <c r="H199" s="1" t="s">
        <v>621</v>
      </c>
      <c r="I199" s="1" t="s">
        <v>622</v>
      </c>
      <c r="J199" s="1"/>
      <c r="K199" s="1"/>
      <c r="L199" s="2">
        <f t="shared" si="10"/>
        <v>46141</v>
      </c>
      <c r="M199" s="1" t="str">
        <f t="shared" ca="1" si="11"/>
        <v>CERRADO</v>
      </c>
      <c r="N199" s="1"/>
    </row>
    <row r="200" spans="1:14">
      <c r="A200" s="1">
        <v>197</v>
      </c>
      <c r="B200" s="2">
        <v>46139</v>
      </c>
      <c r="C200" s="1" t="s">
        <v>498</v>
      </c>
      <c r="D200" s="1" t="s">
        <v>623</v>
      </c>
      <c r="E200" s="1" t="s">
        <v>147</v>
      </c>
      <c r="F200" s="1" t="s">
        <v>486</v>
      </c>
      <c r="G200" s="1" t="s">
        <v>147</v>
      </c>
      <c r="H200" s="1" t="s">
        <v>621</v>
      </c>
      <c r="I200" s="1" t="s">
        <v>624</v>
      </c>
      <c r="J200" s="1"/>
      <c r="K200" s="1"/>
      <c r="L200" s="2">
        <f t="shared" si="10"/>
        <v>46144</v>
      </c>
      <c r="M200" s="1" t="str">
        <f t="shared" ca="1" si="11"/>
        <v>CERRADO</v>
      </c>
      <c r="N200" s="1"/>
    </row>
    <row r="201" spans="1:14">
      <c r="A201" s="1">
        <v>198</v>
      </c>
      <c r="B201" s="2">
        <v>46139</v>
      </c>
      <c r="C201" s="1" t="s">
        <v>527</v>
      </c>
      <c r="D201" s="1" t="s">
        <v>625</v>
      </c>
      <c r="E201" s="1" t="s">
        <v>607</v>
      </c>
      <c r="F201" s="1" t="s">
        <v>626</v>
      </c>
      <c r="G201" s="1" t="s">
        <v>33</v>
      </c>
      <c r="H201" s="1" t="s">
        <v>145</v>
      </c>
      <c r="I201" s="1" t="s">
        <v>627</v>
      </c>
      <c r="J201" s="1"/>
      <c r="K201" s="1"/>
      <c r="L201" s="2">
        <f t="shared" si="10"/>
        <v>46144</v>
      </c>
      <c r="M201" s="1" t="str">
        <f t="shared" ca="1" si="11"/>
        <v>CERRADO</v>
      </c>
      <c r="N201" s="1"/>
    </row>
    <row r="202" spans="1:14">
      <c r="A202" s="1">
        <v>199</v>
      </c>
      <c r="B202" s="2">
        <v>46139</v>
      </c>
      <c r="C202" s="1" t="s">
        <v>527</v>
      </c>
      <c r="D202" s="1" t="s">
        <v>628</v>
      </c>
      <c r="E202" s="1" t="s">
        <v>119</v>
      </c>
      <c r="F202" s="1" t="s">
        <v>629</v>
      </c>
      <c r="G202" s="1" t="s">
        <v>630</v>
      </c>
      <c r="H202" s="1" t="s">
        <v>631</v>
      </c>
      <c r="I202" s="1" t="s">
        <v>632</v>
      </c>
      <c r="J202" s="1"/>
      <c r="K202" s="1"/>
      <c r="L202" s="2">
        <f t="shared" si="10"/>
        <v>46144</v>
      </c>
      <c r="M202" s="1" t="str">
        <f t="shared" ca="1" si="11"/>
        <v>CERRADO</v>
      </c>
      <c r="N202" s="1"/>
    </row>
    <row r="203" spans="1:14">
      <c r="A203" s="1">
        <v>200</v>
      </c>
      <c r="B203" s="2">
        <v>46140</v>
      </c>
      <c r="C203" s="1" t="s">
        <v>498</v>
      </c>
      <c r="D203" s="1" t="s">
        <v>633</v>
      </c>
      <c r="E203" s="1" t="s">
        <v>634</v>
      </c>
      <c r="F203" s="1" t="s">
        <v>635</v>
      </c>
      <c r="G203" s="1" t="s">
        <v>30</v>
      </c>
      <c r="H203" s="1" t="s">
        <v>636</v>
      </c>
      <c r="I203" s="1" t="s">
        <v>637</v>
      </c>
      <c r="J203" s="1"/>
      <c r="K203" s="1"/>
      <c r="L203" s="2">
        <f t="shared" si="10"/>
        <v>46145</v>
      </c>
      <c r="M203" s="1" t="str">
        <f t="shared" ca="1" si="11"/>
        <v>CERRADO</v>
      </c>
      <c r="N203" s="1"/>
    </row>
    <row r="204" spans="1:14">
      <c r="A204" s="1">
        <v>201</v>
      </c>
      <c r="B204" s="2">
        <v>46140</v>
      </c>
      <c r="C204" s="1" t="s">
        <v>498</v>
      </c>
      <c r="D204" s="1" t="s">
        <v>638</v>
      </c>
      <c r="E204" s="1" t="s">
        <v>314</v>
      </c>
      <c r="F204" s="1" t="s">
        <v>635</v>
      </c>
      <c r="G204" s="1" t="s">
        <v>152</v>
      </c>
      <c r="H204" s="1" t="s">
        <v>315</v>
      </c>
      <c r="I204" s="1" t="s">
        <v>637</v>
      </c>
      <c r="J204" s="1"/>
      <c r="K204" s="1"/>
      <c r="L204" s="2">
        <f t="shared" si="10"/>
        <v>46145</v>
      </c>
      <c r="M204" s="1" t="str">
        <f t="shared" ca="1" si="11"/>
        <v>CERRADO</v>
      </c>
      <c r="N204" s="1"/>
    </row>
    <row r="205" spans="1:14">
      <c r="A205" s="1">
        <v>202</v>
      </c>
      <c r="B205" s="2">
        <v>46140</v>
      </c>
      <c r="C205" s="1" t="s">
        <v>498</v>
      </c>
      <c r="D205" s="1" t="s">
        <v>639</v>
      </c>
      <c r="E205" s="1" t="s">
        <v>607</v>
      </c>
      <c r="F205" s="1" t="s">
        <v>617</v>
      </c>
      <c r="G205" s="1" t="s">
        <v>518</v>
      </c>
      <c r="H205" s="1" t="s">
        <v>608</v>
      </c>
      <c r="I205" s="1" t="s">
        <v>640</v>
      </c>
      <c r="J205" s="1"/>
      <c r="K205" s="1"/>
      <c r="L205" s="2">
        <f t="shared" si="10"/>
        <v>46145</v>
      </c>
      <c r="M205" s="1" t="str">
        <f t="shared" ca="1" si="11"/>
        <v>CERRADO</v>
      </c>
      <c r="N205" s="1"/>
    </row>
    <row r="206" spans="1:14">
      <c r="A206" s="1">
        <v>203</v>
      </c>
      <c r="B206" s="2">
        <v>46140</v>
      </c>
      <c r="C206" s="1" t="s">
        <v>498</v>
      </c>
      <c r="D206" s="1" t="s">
        <v>641</v>
      </c>
      <c r="E206" s="1" t="s">
        <v>607</v>
      </c>
      <c r="F206" s="1" t="s">
        <v>598</v>
      </c>
      <c r="G206" s="1" t="s">
        <v>518</v>
      </c>
      <c r="H206" s="1" t="s">
        <v>608</v>
      </c>
      <c r="I206" s="1" t="s">
        <v>642</v>
      </c>
      <c r="J206" s="1"/>
      <c r="K206" s="1"/>
      <c r="L206" s="2">
        <f t="shared" si="10"/>
        <v>46145</v>
      </c>
      <c r="M206" s="1" t="str">
        <f t="shared" ca="1" si="11"/>
        <v>CERRADO</v>
      </c>
      <c r="N206" s="1"/>
    </row>
    <row r="207" spans="1:14">
      <c r="A207" s="1">
        <v>204</v>
      </c>
      <c r="B207" s="2">
        <v>46140</v>
      </c>
      <c r="C207" s="1" t="s">
        <v>498</v>
      </c>
      <c r="D207" s="1" t="s">
        <v>643</v>
      </c>
      <c r="E207" s="1" t="s">
        <v>607</v>
      </c>
      <c r="F207" s="1" t="s">
        <v>551</v>
      </c>
      <c r="G207" s="1" t="s">
        <v>518</v>
      </c>
      <c r="H207" s="1" t="s">
        <v>534</v>
      </c>
      <c r="I207" s="1" t="s">
        <v>644</v>
      </c>
      <c r="J207" s="1"/>
      <c r="K207" s="1"/>
      <c r="L207" s="2">
        <f t="shared" si="10"/>
        <v>46145</v>
      </c>
      <c r="M207" s="1" t="str">
        <f t="shared" ca="1" si="11"/>
        <v>CERRADO</v>
      </c>
      <c r="N207" s="1"/>
    </row>
    <row r="208" spans="1:14">
      <c r="A208" s="1">
        <v>205</v>
      </c>
      <c r="B208" s="2">
        <v>46140</v>
      </c>
      <c r="C208" s="1" t="s">
        <v>498</v>
      </c>
      <c r="D208" s="1" t="s">
        <v>645</v>
      </c>
      <c r="E208" s="1" t="s">
        <v>607</v>
      </c>
      <c r="F208" s="1" t="s">
        <v>194</v>
      </c>
      <c r="G208" s="1" t="s">
        <v>518</v>
      </c>
      <c r="H208" s="1" t="s">
        <v>534</v>
      </c>
      <c r="I208" s="1" t="s">
        <v>646</v>
      </c>
      <c r="J208" s="1"/>
      <c r="K208" s="1"/>
      <c r="L208" s="2">
        <f t="shared" si="10"/>
        <v>46145</v>
      </c>
      <c r="M208" s="1" t="str">
        <f t="shared" ca="1" si="11"/>
        <v>CERRADO</v>
      </c>
      <c r="N208" s="1"/>
    </row>
    <row r="209" spans="1:14">
      <c r="A209" s="1">
        <v>206</v>
      </c>
      <c r="B209" s="2">
        <v>46140</v>
      </c>
      <c r="C209" s="1" t="s">
        <v>498</v>
      </c>
      <c r="D209" s="1" t="s">
        <v>647</v>
      </c>
      <c r="E209" s="1" t="s">
        <v>648</v>
      </c>
      <c r="F209" s="1" t="s">
        <v>514</v>
      </c>
      <c r="G209" s="1" t="s">
        <v>518</v>
      </c>
      <c r="H209" s="1" t="s">
        <v>588</v>
      </c>
      <c r="I209" s="1" t="s">
        <v>649</v>
      </c>
      <c r="J209" s="1"/>
      <c r="K209" s="1"/>
      <c r="L209" s="2">
        <f t="shared" si="10"/>
        <v>46145</v>
      </c>
      <c r="M209" s="1" t="str">
        <f t="shared" ca="1" si="11"/>
        <v>CERRADO</v>
      </c>
      <c r="N209" s="1"/>
    </row>
    <row r="210" spans="1:14">
      <c r="A210" s="1">
        <v>207</v>
      </c>
      <c r="B210" s="2">
        <v>46155</v>
      </c>
      <c r="C210" s="1" t="s">
        <v>85</v>
      </c>
      <c r="D210" s="1" t="s">
        <v>499</v>
      </c>
      <c r="E210" s="1" t="s">
        <v>500</v>
      </c>
      <c r="F210" s="1" t="s">
        <v>501</v>
      </c>
      <c r="G210" s="1" t="s">
        <v>121</v>
      </c>
      <c r="H210" s="1" t="s">
        <v>502</v>
      </c>
      <c r="I210" s="1" t="s">
        <v>503</v>
      </c>
      <c r="J210" s="1"/>
      <c r="K210" s="1"/>
      <c r="L210" s="2">
        <f t="shared" si="10"/>
        <v>46160</v>
      </c>
      <c r="M210" s="1" t="str">
        <f t="shared" ca="1" si="11"/>
        <v>CERRADO</v>
      </c>
      <c r="N210" s="1"/>
    </row>
    <row r="211" spans="1:14">
      <c r="A211" s="1">
        <v>208</v>
      </c>
      <c r="B211" s="2">
        <v>46146</v>
      </c>
      <c r="C211" s="1" t="s">
        <v>16</v>
      </c>
      <c r="D211" s="1" t="s">
        <v>650</v>
      </c>
      <c r="E211" s="1" t="s">
        <v>121</v>
      </c>
      <c r="F211" s="1" t="s">
        <v>601</v>
      </c>
      <c r="G211" s="1" t="s">
        <v>121</v>
      </c>
      <c r="H211" s="1" t="s">
        <v>502</v>
      </c>
      <c r="I211" s="1" t="s">
        <v>651</v>
      </c>
      <c r="J211" s="1"/>
      <c r="K211" s="1"/>
      <c r="L211" s="2">
        <f t="shared" si="10"/>
        <v>46151</v>
      </c>
      <c r="M211" s="1" t="str">
        <f t="shared" ca="1" si="11"/>
        <v>CERRADO</v>
      </c>
      <c r="N211" s="1"/>
    </row>
    <row r="212" spans="1:14">
      <c r="A212" s="1">
        <v>209</v>
      </c>
      <c r="B212" s="2">
        <v>46147</v>
      </c>
      <c r="C212" s="1" t="s">
        <v>16</v>
      </c>
      <c r="D212" s="1" t="s">
        <v>652</v>
      </c>
      <c r="E212" s="1" t="s">
        <v>653</v>
      </c>
      <c r="F212" s="1" t="s">
        <v>601</v>
      </c>
      <c r="G212" s="1" t="s">
        <v>30</v>
      </c>
      <c r="H212" s="1" t="s">
        <v>31</v>
      </c>
      <c r="I212" s="1" t="s">
        <v>654</v>
      </c>
      <c r="J212" s="1"/>
      <c r="K212" s="1"/>
      <c r="L212" s="2">
        <f t="shared" si="10"/>
        <v>46152</v>
      </c>
      <c r="M212" s="1" t="str">
        <f t="shared" ca="1" si="11"/>
        <v>CERRADO</v>
      </c>
      <c r="N212" s="1"/>
    </row>
    <row r="213" spans="1:14">
      <c r="A213" s="1">
        <v>210</v>
      </c>
      <c r="B213" s="2">
        <v>46147</v>
      </c>
      <c r="C213" s="1" t="s">
        <v>16</v>
      </c>
      <c r="D213" s="1" t="s">
        <v>655</v>
      </c>
      <c r="E213" s="1" t="s">
        <v>656</v>
      </c>
      <c r="F213" s="1" t="s">
        <v>657</v>
      </c>
      <c r="G213" s="1" t="s">
        <v>147</v>
      </c>
      <c r="H213" s="1" t="s">
        <v>506</v>
      </c>
      <c r="I213" s="1" t="s">
        <v>658</v>
      </c>
      <c r="J213" s="1"/>
      <c r="K213" s="1"/>
      <c r="L213" s="2">
        <f t="shared" si="10"/>
        <v>46152</v>
      </c>
      <c r="M213" s="1" t="str">
        <f t="shared" ca="1" si="11"/>
        <v>CERRADO</v>
      </c>
      <c r="N213" s="1"/>
    </row>
    <row r="214" spans="1:14">
      <c r="A214" s="1">
        <v>211</v>
      </c>
      <c r="B214" s="2">
        <v>46150</v>
      </c>
      <c r="C214" s="1" t="s">
        <v>16</v>
      </c>
      <c r="D214" s="1" t="s">
        <v>659</v>
      </c>
      <c r="E214" s="1" t="s">
        <v>660</v>
      </c>
      <c r="F214" s="1" t="s">
        <v>661</v>
      </c>
      <c r="G214" s="1" t="s">
        <v>121</v>
      </c>
      <c r="H214" s="1" t="s">
        <v>502</v>
      </c>
      <c r="I214" s="1" t="s">
        <v>662</v>
      </c>
      <c r="J214" s="1"/>
      <c r="K214" s="1"/>
      <c r="L214" s="2">
        <f t="shared" si="10"/>
        <v>46155</v>
      </c>
      <c r="M214" s="1" t="str">
        <f t="shared" ca="1" si="11"/>
        <v>CERRADO</v>
      </c>
      <c r="N214" s="1"/>
    </row>
    <row r="215" spans="1:14">
      <c r="A215" s="1">
        <v>212</v>
      </c>
      <c r="B215" s="2">
        <v>46151</v>
      </c>
      <c r="C215" s="1" t="s">
        <v>16</v>
      </c>
      <c r="D215" s="1" t="s">
        <v>663</v>
      </c>
      <c r="E215" s="1" t="s">
        <v>42</v>
      </c>
      <c r="F215" s="1" t="s">
        <v>664</v>
      </c>
      <c r="G215" s="1" t="s">
        <v>152</v>
      </c>
      <c r="H215" s="1" t="s">
        <v>153</v>
      </c>
      <c r="I215" s="1" t="s">
        <v>665</v>
      </c>
      <c r="J215" s="1"/>
      <c r="K215" s="1"/>
      <c r="L215" s="2">
        <f t="shared" si="10"/>
        <v>46156</v>
      </c>
      <c r="M215" s="1" t="str">
        <f t="shared" ca="1" si="11"/>
        <v>CERRADO</v>
      </c>
      <c r="N215" s="1"/>
    </row>
    <row r="216" spans="1:14">
      <c r="A216" s="1">
        <v>213</v>
      </c>
      <c r="B216" s="2">
        <v>46153</v>
      </c>
      <c r="C216" s="1" t="s">
        <v>16</v>
      </c>
      <c r="D216" s="1" t="s">
        <v>666</v>
      </c>
      <c r="E216" s="1" t="s">
        <v>42</v>
      </c>
      <c r="F216" s="1" t="s">
        <v>667</v>
      </c>
      <c r="G216" s="1" t="s">
        <v>152</v>
      </c>
      <c r="H216" s="1" t="s">
        <v>153</v>
      </c>
      <c r="I216" s="1" t="s">
        <v>668</v>
      </c>
      <c r="J216" s="1"/>
      <c r="K216" s="1"/>
      <c r="L216" s="2">
        <f t="shared" si="10"/>
        <v>46158</v>
      </c>
      <c r="M216" s="1" t="str">
        <f t="shared" ca="1" si="11"/>
        <v>CERRADO</v>
      </c>
      <c r="N216" s="1"/>
    </row>
    <row r="217" spans="1:14">
      <c r="A217" s="37">
        <v>214</v>
      </c>
      <c r="B217" s="38">
        <v>46155</v>
      </c>
      <c r="C217" s="37" t="s">
        <v>16</v>
      </c>
      <c r="D217" s="37" t="s">
        <v>669</v>
      </c>
      <c r="E217" s="37" t="s">
        <v>121</v>
      </c>
      <c r="F217" s="37" t="s">
        <v>670</v>
      </c>
      <c r="G217" s="37" t="s">
        <v>121</v>
      </c>
      <c r="H217" s="37" t="s">
        <v>671</v>
      </c>
      <c r="I217" s="37" t="s">
        <v>672</v>
      </c>
      <c r="J217" s="37"/>
      <c r="K217" s="38"/>
      <c r="L217" s="38"/>
      <c r="M217" s="40" t="str">
        <f ca="1">IF(L217&lt;&gt;"","CERRADO",IF(K217&gt;TODAY(),"EN PROCESO",IF(L217="","ABIERTO")))</f>
        <v>ABIERTO</v>
      </c>
      <c r="N217" s="37"/>
    </row>
    <row r="218" spans="1:14">
      <c r="A218" s="1">
        <v>215</v>
      </c>
      <c r="B218" s="2">
        <v>46156</v>
      </c>
      <c r="C218" s="1" t="s">
        <v>49</v>
      </c>
      <c r="D218" s="1" t="s">
        <v>673</v>
      </c>
      <c r="E218" s="1" t="s">
        <v>653</v>
      </c>
      <c r="F218" s="1" t="s">
        <v>674</v>
      </c>
      <c r="G218" s="1" t="s">
        <v>30</v>
      </c>
      <c r="H218" s="1" t="s">
        <v>31</v>
      </c>
      <c r="I218" s="1" t="s">
        <v>675</v>
      </c>
      <c r="J218" s="1"/>
      <c r="K218" s="1"/>
      <c r="L218" s="2">
        <f t="shared" ref="L218:L256" si="12">B218+5</f>
        <v>46161</v>
      </c>
      <c r="M218" s="1" t="str">
        <f t="shared" ref="M218:M256" ca="1" si="13">IF(L218&lt;TODAY(),"CERRADO","ABIERTO")</f>
        <v>CERRADO</v>
      </c>
      <c r="N218" s="1"/>
    </row>
    <row r="219" spans="1:14">
      <c r="A219" s="1">
        <v>216</v>
      </c>
      <c r="B219" s="2">
        <v>46156</v>
      </c>
      <c r="C219" s="1" t="s">
        <v>16</v>
      </c>
      <c r="D219" s="1" t="s">
        <v>676</v>
      </c>
      <c r="E219" s="1" t="s">
        <v>677</v>
      </c>
      <c r="F219" s="1" t="s">
        <v>678</v>
      </c>
      <c r="G219" s="1" t="s">
        <v>30</v>
      </c>
      <c r="H219" s="1" t="s">
        <v>31</v>
      </c>
      <c r="I219" s="1" t="s">
        <v>679</v>
      </c>
      <c r="J219" s="1"/>
      <c r="K219" s="1"/>
      <c r="L219" s="2">
        <f t="shared" si="12"/>
        <v>46161</v>
      </c>
      <c r="M219" s="1" t="str">
        <f t="shared" ca="1" si="13"/>
        <v>CERRADO</v>
      </c>
      <c r="N219" s="1"/>
    </row>
    <row r="220" spans="1:14">
      <c r="A220" s="1">
        <v>217</v>
      </c>
      <c r="B220" s="2">
        <v>46162</v>
      </c>
      <c r="C220" s="1" t="s">
        <v>16</v>
      </c>
      <c r="D220" s="1" t="s">
        <v>680</v>
      </c>
      <c r="E220" s="1" t="s">
        <v>677</v>
      </c>
      <c r="F220" s="1" t="s">
        <v>664</v>
      </c>
      <c r="G220" s="1" t="s">
        <v>30</v>
      </c>
      <c r="H220" s="1" t="s">
        <v>31</v>
      </c>
      <c r="I220" s="1" t="s">
        <v>681</v>
      </c>
      <c r="J220" s="1"/>
      <c r="K220" s="1"/>
      <c r="L220" s="2">
        <f t="shared" si="12"/>
        <v>46167</v>
      </c>
      <c r="M220" s="1" t="str">
        <f t="shared" ca="1" si="13"/>
        <v>CERRADO</v>
      </c>
      <c r="N220" s="1"/>
    </row>
    <row r="221" spans="1:14">
      <c r="A221" s="1">
        <v>218</v>
      </c>
      <c r="B221" s="2">
        <v>46162</v>
      </c>
      <c r="C221" s="1" t="s">
        <v>16</v>
      </c>
      <c r="D221" s="1" t="s">
        <v>655</v>
      </c>
      <c r="E221" s="1" t="s">
        <v>500</v>
      </c>
      <c r="F221" s="1" t="s">
        <v>682</v>
      </c>
      <c r="G221" s="1" t="s">
        <v>162</v>
      </c>
      <c r="H221" s="1" t="s">
        <v>621</v>
      </c>
      <c r="I221" s="1" t="s">
        <v>658</v>
      </c>
      <c r="J221" s="1"/>
      <c r="K221" s="1"/>
      <c r="L221" s="2">
        <f t="shared" si="12"/>
        <v>46167</v>
      </c>
      <c r="M221" s="1" t="str">
        <f t="shared" ca="1" si="13"/>
        <v>CERRADO</v>
      </c>
      <c r="N221" s="1"/>
    </row>
    <row r="222" spans="1:14">
      <c r="A222" s="1">
        <v>219</v>
      </c>
      <c r="B222" s="2">
        <v>46163</v>
      </c>
      <c r="C222" s="1" t="s">
        <v>16</v>
      </c>
      <c r="D222" s="1" t="s">
        <v>683</v>
      </c>
      <c r="E222" s="1" t="s">
        <v>684</v>
      </c>
      <c r="F222" s="1" t="s">
        <v>664</v>
      </c>
      <c r="G222" s="1" t="s">
        <v>147</v>
      </c>
      <c r="H222" s="1" t="s">
        <v>506</v>
      </c>
      <c r="I222" s="1" t="s">
        <v>685</v>
      </c>
      <c r="J222" s="1"/>
      <c r="K222" s="1"/>
      <c r="L222" s="2">
        <f t="shared" si="12"/>
        <v>46168</v>
      </c>
      <c r="M222" s="1" t="str">
        <f t="shared" ca="1" si="13"/>
        <v>CERRADO</v>
      </c>
      <c r="N222" s="1"/>
    </row>
    <row r="223" spans="1:14">
      <c r="A223" s="1">
        <v>220</v>
      </c>
      <c r="B223" s="2">
        <v>46164</v>
      </c>
      <c r="C223" s="1" t="s">
        <v>16</v>
      </c>
      <c r="D223" s="1" t="s">
        <v>686</v>
      </c>
      <c r="E223" s="1" t="s">
        <v>121</v>
      </c>
      <c r="F223" s="1" t="s">
        <v>687</v>
      </c>
      <c r="G223" s="1" t="s">
        <v>121</v>
      </c>
      <c r="H223" s="1" t="s">
        <v>502</v>
      </c>
      <c r="I223" s="1" t="s">
        <v>688</v>
      </c>
      <c r="J223" s="1"/>
      <c r="K223" s="1"/>
      <c r="L223" s="2">
        <f t="shared" si="12"/>
        <v>46169</v>
      </c>
      <c r="M223" s="1" t="str">
        <f t="shared" ca="1" si="13"/>
        <v>CERRADO</v>
      </c>
      <c r="N223" s="1"/>
    </row>
    <row r="224" spans="1:14">
      <c r="A224" s="1">
        <v>221</v>
      </c>
      <c r="B224" s="2">
        <v>46164</v>
      </c>
      <c r="C224" s="1" t="s">
        <v>16</v>
      </c>
      <c r="D224" s="1" t="s">
        <v>686</v>
      </c>
      <c r="E224" s="1" t="s">
        <v>689</v>
      </c>
      <c r="F224" s="1" t="s">
        <v>687</v>
      </c>
      <c r="G224" s="1" t="s">
        <v>121</v>
      </c>
      <c r="H224" s="1" t="s">
        <v>502</v>
      </c>
      <c r="I224" s="1" t="s">
        <v>690</v>
      </c>
      <c r="J224" s="1"/>
      <c r="K224" s="1"/>
      <c r="L224" s="2">
        <f t="shared" si="12"/>
        <v>46169</v>
      </c>
      <c r="M224" s="1" t="str">
        <f t="shared" ca="1" si="13"/>
        <v>CERRADO</v>
      </c>
      <c r="N224" s="1"/>
    </row>
    <row r="225" spans="1:14">
      <c r="A225" s="1">
        <v>222</v>
      </c>
      <c r="B225" s="2">
        <v>46165</v>
      </c>
      <c r="C225" s="1" t="s">
        <v>16</v>
      </c>
      <c r="D225" s="1" t="s">
        <v>691</v>
      </c>
      <c r="E225" s="1" t="s">
        <v>692</v>
      </c>
      <c r="F225" s="1" t="s">
        <v>678</v>
      </c>
      <c r="G225" s="1" t="s">
        <v>147</v>
      </c>
      <c r="H225" s="1" t="s">
        <v>506</v>
      </c>
      <c r="I225" s="1" t="s">
        <v>693</v>
      </c>
      <c r="J225" s="1"/>
      <c r="K225" s="1"/>
      <c r="L225" s="2">
        <f t="shared" si="12"/>
        <v>46170</v>
      </c>
      <c r="M225" s="1" t="str">
        <f t="shared" ca="1" si="13"/>
        <v>CERRADO</v>
      </c>
      <c r="N225" s="1"/>
    </row>
    <row r="226" spans="1:14">
      <c r="A226" s="1">
        <v>223</v>
      </c>
      <c r="B226" s="2">
        <v>46165</v>
      </c>
      <c r="C226" s="1" t="s">
        <v>16</v>
      </c>
      <c r="D226" s="1" t="s">
        <v>694</v>
      </c>
      <c r="E226" s="1" t="s">
        <v>42</v>
      </c>
      <c r="F226" s="1" t="s">
        <v>695</v>
      </c>
      <c r="G226" s="1" t="s">
        <v>152</v>
      </c>
      <c r="H226" s="1" t="s">
        <v>153</v>
      </c>
      <c r="I226" s="1" t="s">
        <v>696</v>
      </c>
      <c r="J226" s="1"/>
      <c r="K226" s="1"/>
      <c r="L226" s="2">
        <f t="shared" si="12"/>
        <v>46170</v>
      </c>
      <c r="M226" s="1" t="str">
        <f t="shared" ca="1" si="13"/>
        <v>CERRADO</v>
      </c>
      <c r="N226" s="1"/>
    </row>
    <row r="227" spans="1:14">
      <c r="A227" s="1">
        <v>224</v>
      </c>
      <c r="B227" s="2">
        <v>46168</v>
      </c>
      <c r="C227" s="1" t="s">
        <v>16</v>
      </c>
      <c r="D227" s="1" t="s">
        <v>697</v>
      </c>
      <c r="E227" s="1" t="s">
        <v>500</v>
      </c>
      <c r="F227" s="1" t="s">
        <v>129</v>
      </c>
      <c r="G227" s="1" t="s">
        <v>121</v>
      </c>
      <c r="H227" s="1" t="s">
        <v>502</v>
      </c>
      <c r="I227" s="1" t="s">
        <v>658</v>
      </c>
      <c r="J227" s="1"/>
      <c r="K227" s="1"/>
      <c r="L227" s="2">
        <f t="shared" si="12"/>
        <v>46173</v>
      </c>
      <c r="M227" s="1" t="str">
        <f t="shared" ca="1" si="13"/>
        <v>CERRADO</v>
      </c>
      <c r="N227" s="1"/>
    </row>
    <row r="228" spans="1:14">
      <c r="A228" s="1">
        <v>225</v>
      </c>
      <c r="B228" s="2">
        <v>46149</v>
      </c>
      <c r="C228" s="1" t="s">
        <v>16</v>
      </c>
      <c r="D228" s="1" t="s">
        <v>698</v>
      </c>
      <c r="E228" s="1" t="s">
        <v>699</v>
      </c>
      <c r="F228" s="1" t="s">
        <v>657</v>
      </c>
      <c r="G228" s="1" t="s">
        <v>518</v>
      </c>
      <c r="H228" s="1" t="s">
        <v>534</v>
      </c>
      <c r="I228" s="1" t="s">
        <v>658</v>
      </c>
      <c r="J228" s="1"/>
      <c r="K228" s="1"/>
      <c r="L228" s="2">
        <f t="shared" si="12"/>
        <v>46154</v>
      </c>
      <c r="M228" s="1" t="str">
        <f t="shared" ca="1" si="13"/>
        <v>CERRADO</v>
      </c>
      <c r="N228" s="1"/>
    </row>
    <row r="229" spans="1:14">
      <c r="A229" s="1">
        <v>226</v>
      </c>
      <c r="B229" s="2">
        <v>46149</v>
      </c>
      <c r="C229" s="1" t="s">
        <v>85</v>
      </c>
      <c r="D229" s="1" t="s">
        <v>700</v>
      </c>
      <c r="E229" s="1" t="s">
        <v>699</v>
      </c>
      <c r="F229" s="1" t="s">
        <v>701</v>
      </c>
      <c r="G229" s="1" t="s">
        <v>518</v>
      </c>
      <c r="H229" s="1" t="s">
        <v>702</v>
      </c>
      <c r="I229" s="1" t="s">
        <v>703</v>
      </c>
      <c r="J229" s="1"/>
      <c r="K229" s="1"/>
      <c r="L229" s="2">
        <f t="shared" si="12"/>
        <v>46154</v>
      </c>
      <c r="M229" s="1" t="str">
        <f t="shared" ca="1" si="13"/>
        <v>CERRADO</v>
      </c>
      <c r="N229" s="1"/>
    </row>
    <row r="230" spans="1:14">
      <c r="A230" s="1">
        <v>227</v>
      </c>
      <c r="B230" s="2">
        <v>46149</v>
      </c>
      <c r="C230" s="1" t="s">
        <v>85</v>
      </c>
      <c r="D230" s="1" t="s">
        <v>704</v>
      </c>
      <c r="E230" s="1" t="s">
        <v>699</v>
      </c>
      <c r="F230" s="1" t="s">
        <v>701</v>
      </c>
      <c r="G230" s="1" t="s">
        <v>518</v>
      </c>
      <c r="H230" s="1" t="s">
        <v>534</v>
      </c>
      <c r="I230" s="1" t="s">
        <v>705</v>
      </c>
      <c r="J230" s="1"/>
      <c r="K230" s="1"/>
      <c r="L230" s="2">
        <f t="shared" si="12"/>
        <v>46154</v>
      </c>
      <c r="M230" s="1" t="str">
        <f t="shared" ca="1" si="13"/>
        <v>CERRADO</v>
      </c>
      <c r="N230" s="1"/>
    </row>
    <row r="231" spans="1:14">
      <c r="A231" s="1">
        <v>228</v>
      </c>
      <c r="B231" s="2">
        <v>46150</v>
      </c>
      <c r="C231" s="1" t="s">
        <v>16</v>
      </c>
      <c r="D231" s="1" t="s">
        <v>706</v>
      </c>
      <c r="E231" s="1" t="s">
        <v>707</v>
      </c>
      <c r="F231" s="1" t="s">
        <v>678</v>
      </c>
      <c r="G231" s="1" t="s">
        <v>518</v>
      </c>
      <c r="H231" s="1" t="s">
        <v>145</v>
      </c>
      <c r="I231" s="1" t="s">
        <v>708</v>
      </c>
      <c r="J231" s="1"/>
      <c r="K231" s="1"/>
      <c r="L231" s="2">
        <f t="shared" si="12"/>
        <v>46155</v>
      </c>
      <c r="M231" s="1" t="str">
        <f t="shared" ca="1" si="13"/>
        <v>CERRADO</v>
      </c>
      <c r="N231" s="1"/>
    </row>
    <row r="232" spans="1:14">
      <c r="A232" s="1">
        <v>229</v>
      </c>
      <c r="B232" s="2">
        <v>46150</v>
      </c>
      <c r="C232" s="1" t="s">
        <v>16</v>
      </c>
      <c r="D232" s="1" t="s">
        <v>655</v>
      </c>
      <c r="E232" s="1" t="s">
        <v>709</v>
      </c>
      <c r="F232" s="1" t="s">
        <v>710</v>
      </c>
      <c r="G232" s="1" t="s">
        <v>518</v>
      </c>
      <c r="H232" s="1" t="s">
        <v>534</v>
      </c>
      <c r="I232" s="1" t="s">
        <v>658</v>
      </c>
      <c r="J232" s="1"/>
      <c r="K232" s="1"/>
      <c r="L232" s="2">
        <f t="shared" si="12"/>
        <v>46155</v>
      </c>
      <c r="M232" s="1" t="str">
        <f t="shared" ca="1" si="13"/>
        <v>CERRADO</v>
      </c>
      <c r="N232" s="1"/>
    </row>
    <row r="233" spans="1:14">
      <c r="A233" s="1">
        <v>230</v>
      </c>
      <c r="B233" s="2">
        <v>46150</v>
      </c>
      <c r="C233" s="1" t="s">
        <v>16</v>
      </c>
      <c r="D233" s="1" t="s">
        <v>711</v>
      </c>
      <c r="E233" s="1" t="s">
        <v>709</v>
      </c>
      <c r="F233" s="1" t="s">
        <v>678</v>
      </c>
      <c r="G233" s="1" t="s">
        <v>518</v>
      </c>
      <c r="H233" s="1" t="s">
        <v>534</v>
      </c>
      <c r="I233" s="1" t="s">
        <v>712</v>
      </c>
      <c r="J233" s="1"/>
      <c r="K233" s="1"/>
      <c r="L233" s="2">
        <f t="shared" si="12"/>
        <v>46155</v>
      </c>
      <c r="M233" s="1" t="str">
        <f t="shared" ca="1" si="13"/>
        <v>CERRADO</v>
      </c>
      <c r="N233" s="1"/>
    </row>
    <row r="234" spans="1:14">
      <c r="A234" s="1">
        <v>231</v>
      </c>
      <c r="B234" s="2">
        <v>46155</v>
      </c>
      <c r="C234" s="1" t="s">
        <v>16</v>
      </c>
      <c r="D234" s="1" t="s">
        <v>655</v>
      </c>
      <c r="E234" s="1" t="s">
        <v>713</v>
      </c>
      <c r="F234" s="1" t="s">
        <v>657</v>
      </c>
      <c r="G234" s="1" t="s">
        <v>518</v>
      </c>
      <c r="H234" s="1" t="s">
        <v>588</v>
      </c>
      <c r="I234" s="1" t="s">
        <v>658</v>
      </c>
      <c r="J234" s="1"/>
      <c r="K234" s="1"/>
      <c r="L234" s="2">
        <f t="shared" si="12"/>
        <v>46160</v>
      </c>
      <c r="M234" s="1" t="str">
        <f t="shared" ca="1" si="13"/>
        <v>CERRADO</v>
      </c>
      <c r="N234" s="1"/>
    </row>
    <row r="235" spans="1:14">
      <c r="A235" s="1">
        <v>232</v>
      </c>
      <c r="B235" s="2">
        <v>46156</v>
      </c>
      <c r="C235" s="1" t="s">
        <v>85</v>
      </c>
      <c r="D235" s="1" t="s">
        <v>714</v>
      </c>
      <c r="E235" s="1" t="s">
        <v>713</v>
      </c>
      <c r="F235" s="1" t="s">
        <v>715</v>
      </c>
      <c r="G235" s="1" t="s">
        <v>518</v>
      </c>
      <c r="H235" s="1" t="s">
        <v>588</v>
      </c>
      <c r="I235" s="1" t="s">
        <v>716</v>
      </c>
      <c r="J235" s="1"/>
      <c r="K235" s="1"/>
      <c r="L235" s="2">
        <f t="shared" si="12"/>
        <v>46161</v>
      </c>
      <c r="M235" s="1" t="str">
        <f t="shared" ca="1" si="13"/>
        <v>CERRADO</v>
      </c>
      <c r="N235" s="1"/>
    </row>
    <row r="236" spans="1:14">
      <c r="A236" s="1">
        <v>233</v>
      </c>
      <c r="B236" s="2">
        <v>46156</v>
      </c>
      <c r="C236" s="1" t="s">
        <v>16</v>
      </c>
      <c r="D236" s="1" t="s">
        <v>697</v>
      </c>
      <c r="E236" s="1" t="s">
        <v>717</v>
      </c>
      <c r="F236" s="1" t="s">
        <v>682</v>
      </c>
      <c r="G236" s="1" t="s">
        <v>518</v>
      </c>
      <c r="H236" s="1" t="s">
        <v>534</v>
      </c>
      <c r="I236" s="1" t="s">
        <v>718</v>
      </c>
      <c r="J236" s="1"/>
      <c r="K236" s="1"/>
      <c r="L236" s="2">
        <f t="shared" si="12"/>
        <v>46161</v>
      </c>
      <c r="M236" s="1" t="str">
        <f t="shared" ca="1" si="13"/>
        <v>CERRADO</v>
      </c>
      <c r="N236" s="1"/>
    </row>
    <row r="237" spans="1:14">
      <c r="A237" s="1">
        <v>234</v>
      </c>
      <c r="B237" s="2">
        <v>46160</v>
      </c>
      <c r="C237" s="1" t="s">
        <v>85</v>
      </c>
      <c r="D237" s="1" t="s">
        <v>719</v>
      </c>
      <c r="E237" s="1" t="s">
        <v>713</v>
      </c>
      <c r="F237" s="1" t="s">
        <v>129</v>
      </c>
      <c r="G237" s="1" t="s">
        <v>518</v>
      </c>
      <c r="H237" s="1" t="s">
        <v>588</v>
      </c>
      <c r="I237" s="1" t="s">
        <v>718</v>
      </c>
      <c r="J237" s="1"/>
      <c r="K237" s="1"/>
      <c r="L237" s="2">
        <f t="shared" si="12"/>
        <v>46165</v>
      </c>
      <c r="M237" s="1" t="str">
        <f t="shared" ca="1" si="13"/>
        <v>CERRADO</v>
      </c>
      <c r="N237" s="1"/>
    </row>
    <row r="238" spans="1:14">
      <c r="A238" s="1">
        <v>235</v>
      </c>
      <c r="B238" s="2">
        <v>46160</v>
      </c>
      <c r="C238" s="1" t="s">
        <v>85</v>
      </c>
      <c r="D238" s="1" t="s">
        <v>720</v>
      </c>
      <c r="E238" s="1" t="s">
        <v>121</v>
      </c>
      <c r="F238" s="1" t="s">
        <v>721</v>
      </c>
      <c r="G238" s="1" t="s">
        <v>518</v>
      </c>
      <c r="H238" s="1" t="s">
        <v>722</v>
      </c>
      <c r="I238" s="1" t="s">
        <v>723</v>
      </c>
      <c r="J238" s="1"/>
      <c r="K238" s="1"/>
      <c r="L238" s="2">
        <f t="shared" si="12"/>
        <v>46165</v>
      </c>
      <c r="M238" s="1" t="str">
        <f t="shared" ca="1" si="13"/>
        <v>CERRADO</v>
      </c>
      <c r="N238" s="1"/>
    </row>
    <row r="239" spans="1:14">
      <c r="A239" s="1">
        <v>236</v>
      </c>
      <c r="B239" s="2">
        <v>46160</v>
      </c>
      <c r="C239" s="1" t="s">
        <v>16</v>
      </c>
      <c r="D239" s="1" t="s">
        <v>655</v>
      </c>
      <c r="E239" s="1" t="s">
        <v>717</v>
      </c>
      <c r="F239" s="1" t="s">
        <v>664</v>
      </c>
      <c r="G239" s="1" t="s">
        <v>518</v>
      </c>
      <c r="H239" s="1" t="s">
        <v>534</v>
      </c>
      <c r="I239" s="1" t="s">
        <v>658</v>
      </c>
      <c r="J239" s="1"/>
      <c r="K239" s="1"/>
      <c r="L239" s="2">
        <f t="shared" si="12"/>
        <v>46165</v>
      </c>
      <c r="M239" s="1" t="str">
        <f t="shared" ca="1" si="13"/>
        <v>CERRADO</v>
      </c>
      <c r="N239" s="1"/>
    </row>
    <row r="240" spans="1:14">
      <c r="A240" s="1">
        <v>237</v>
      </c>
      <c r="B240" s="2">
        <v>46161</v>
      </c>
      <c r="C240" s="1" t="s">
        <v>85</v>
      </c>
      <c r="D240" s="1" t="s">
        <v>724</v>
      </c>
      <c r="E240" s="1" t="s">
        <v>717</v>
      </c>
      <c r="F240" s="1" t="s">
        <v>695</v>
      </c>
      <c r="G240" s="1" t="s">
        <v>518</v>
      </c>
      <c r="H240" s="1" t="s">
        <v>145</v>
      </c>
      <c r="I240" s="1" t="s">
        <v>681</v>
      </c>
      <c r="J240" s="1"/>
      <c r="K240" s="1"/>
      <c r="L240" s="2">
        <f t="shared" si="12"/>
        <v>46166</v>
      </c>
      <c r="M240" s="1" t="str">
        <f t="shared" ca="1" si="13"/>
        <v>CERRADO</v>
      </c>
      <c r="N240" s="1"/>
    </row>
    <row r="241" spans="1:14">
      <c r="A241" s="1">
        <v>238</v>
      </c>
      <c r="B241" s="2">
        <v>46161</v>
      </c>
      <c r="C241" s="1" t="s">
        <v>85</v>
      </c>
      <c r="D241" s="1" t="s">
        <v>725</v>
      </c>
      <c r="E241" s="1" t="s">
        <v>121</v>
      </c>
      <c r="F241" s="1" t="s">
        <v>726</v>
      </c>
      <c r="G241" s="1" t="s">
        <v>518</v>
      </c>
      <c r="H241" s="1" t="s">
        <v>722</v>
      </c>
      <c r="I241" s="1" t="s">
        <v>532</v>
      </c>
      <c r="J241" s="1"/>
      <c r="K241" s="1"/>
      <c r="L241" s="2">
        <f t="shared" si="12"/>
        <v>46166</v>
      </c>
      <c r="M241" s="1" t="str">
        <f t="shared" ca="1" si="13"/>
        <v>CERRADO</v>
      </c>
      <c r="N241" s="1"/>
    </row>
    <row r="242" spans="1:14">
      <c r="A242" s="1">
        <v>239</v>
      </c>
      <c r="B242" s="2">
        <v>46161</v>
      </c>
      <c r="C242" s="1" t="s">
        <v>16</v>
      </c>
      <c r="D242" s="1" t="s">
        <v>727</v>
      </c>
      <c r="E242" s="1" t="s">
        <v>699</v>
      </c>
      <c r="F242" s="1" t="s">
        <v>682</v>
      </c>
      <c r="G242" s="1" t="s">
        <v>518</v>
      </c>
      <c r="H242" s="1" t="s">
        <v>534</v>
      </c>
      <c r="I242" s="1" t="s">
        <v>658</v>
      </c>
      <c r="J242" s="1"/>
      <c r="K242" s="1"/>
      <c r="L242" s="2">
        <f t="shared" si="12"/>
        <v>46166</v>
      </c>
      <c r="M242" s="1" t="str">
        <f t="shared" ca="1" si="13"/>
        <v>CERRADO</v>
      </c>
      <c r="N242" s="1"/>
    </row>
    <row r="243" spans="1:14">
      <c r="A243" s="1">
        <v>240</v>
      </c>
      <c r="B243" s="2">
        <v>46164</v>
      </c>
      <c r="C243" s="1" t="s">
        <v>16</v>
      </c>
      <c r="D243" s="1" t="s">
        <v>655</v>
      </c>
      <c r="E243" s="1" t="s">
        <v>717</v>
      </c>
      <c r="F243" s="1" t="s">
        <v>728</v>
      </c>
      <c r="G243" s="1" t="s">
        <v>518</v>
      </c>
      <c r="H243" s="1" t="s">
        <v>534</v>
      </c>
      <c r="I243" s="1" t="s">
        <v>658</v>
      </c>
      <c r="J243" s="1"/>
      <c r="K243" s="1"/>
      <c r="L243" s="2">
        <f t="shared" si="12"/>
        <v>46169</v>
      </c>
      <c r="M243" s="1" t="str">
        <f t="shared" ca="1" si="13"/>
        <v>CERRADO</v>
      </c>
      <c r="N243" s="1"/>
    </row>
    <row r="244" spans="1:14">
      <c r="A244" s="1">
        <v>241</v>
      </c>
      <c r="B244" s="2">
        <v>46164</v>
      </c>
      <c r="C244" s="1" t="s">
        <v>16</v>
      </c>
      <c r="D244" s="1" t="s">
        <v>729</v>
      </c>
      <c r="E244" s="1" t="s">
        <v>121</v>
      </c>
      <c r="F244" s="1" t="s">
        <v>730</v>
      </c>
      <c r="G244" s="1" t="s">
        <v>121</v>
      </c>
      <c r="H244" s="1" t="s">
        <v>722</v>
      </c>
      <c r="I244" s="1" t="s">
        <v>731</v>
      </c>
      <c r="J244" s="1"/>
      <c r="K244" s="1"/>
      <c r="L244" s="2">
        <f t="shared" si="12"/>
        <v>46169</v>
      </c>
      <c r="M244" s="1" t="str">
        <f t="shared" ca="1" si="13"/>
        <v>CERRADO</v>
      </c>
      <c r="N244" s="1"/>
    </row>
    <row r="245" spans="1:14">
      <c r="A245" s="1">
        <v>242</v>
      </c>
      <c r="B245" s="2">
        <v>46168</v>
      </c>
      <c r="C245" s="1" t="s">
        <v>16</v>
      </c>
      <c r="D245" s="1" t="s">
        <v>655</v>
      </c>
      <c r="E245" s="1" t="s">
        <v>709</v>
      </c>
      <c r="F245" s="1" t="s">
        <v>129</v>
      </c>
      <c r="G245" s="1" t="s">
        <v>518</v>
      </c>
      <c r="H245" s="1" t="s">
        <v>534</v>
      </c>
      <c r="I245" s="1" t="s">
        <v>658</v>
      </c>
      <c r="J245" s="1"/>
      <c r="K245" s="1"/>
      <c r="L245" s="2">
        <f t="shared" si="12"/>
        <v>46173</v>
      </c>
      <c r="M245" s="1" t="str">
        <f t="shared" ca="1" si="13"/>
        <v>CERRADO</v>
      </c>
      <c r="N245" s="1"/>
    </row>
    <row r="246" spans="1:14">
      <c r="A246" s="1">
        <v>243</v>
      </c>
      <c r="B246" s="2">
        <v>46168</v>
      </c>
      <c r="C246" s="1" t="s">
        <v>16</v>
      </c>
      <c r="D246" s="1" t="s">
        <v>732</v>
      </c>
      <c r="E246" s="1" t="s">
        <v>699</v>
      </c>
      <c r="F246" s="1" t="s">
        <v>695</v>
      </c>
      <c r="G246" s="1" t="s">
        <v>518</v>
      </c>
      <c r="H246" s="1" t="s">
        <v>534</v>
      </c>
      <c r="I246" s="1" t="s">
        <v>733</v>
      </c>
      <c r="J246" s="1"/>
      <c r="K246" s="1"/>
      <c r="L246" s="2">
        <f t="shared" si="12"/>
        <v>46173</v>
      </c>
      <c r="M246" s="1" t="str">
        <f t="shared" ca="1" si="13"/>
        <v>CERRADO</v>
      </c>
      <c r="N246" s="1"/>
    </row>
    <row r="247" spans="1:14">
      <c r="A247" s="1">
        <v>244</v>
      </c>
      <c r="B247" s="2">
        <v>46165</v>
      </c>
      <c r="C247" s="1" t="s">
        <v>85</v>
      </c>
      <c r="D247" s="1" t="s">
        <v>734</v>
      </c>
      <c r="E247" s="1" t="s">
        <v>735</v>
      </c>
      <c r="F247" s="1" t="s">
        <v>726</v>
      </c>
      <c r="G247" s="1" t="s">
        <v>30</v>
      </c>
      <c r="H247" s="1" t="s">
        <v>31</v>
      </c>
      <c r="I247" s="1" t="s">
        <v>736</v>
      </c>
      <c r="J247" s="1"/>
      <c r="K247" s="1"/>
      <c r="L247" s="2">
        <f t="shared" si="12"/>
        <v>46170</v>
      </c>
      <c r="M247" s="1" t="str">
        <f t="shared" ca="1" si="13"/>
        <v>CERRADO</v>
      </c>
      <c r="N247" s="1"/>
    </row>
    <row r="248" spans="1:14">
      <c r="A248" s="1">
        <v>245</v>
      </c>
      <c r="B248" s="2">
        <v>46165</v>
      </c>
      <c r="C248" s="1" t="s">
        <v>85</v>
      </c>
      <c r="D248" s="1" t="s">
        <v>737</v>
      </c>
      <c r="E248" s="1" t="s">
        <v>735</v>
      </c>
      <c r="F248" s="1" t="s">
        <v>726</v>
      </c>
      <c r="G248" s="1" t="s">
        <v>30</v>
      </c>
      <c r="H248" s="1" t="s">
        <v>31</v>
      </c>
      <c r="I248" s="1" t="s">
        <v>736</v>
      </c>
      <c r="J248" s="1"/>
      <c r="K248" s="1"/>
      <c r="L248" s="2">
        <f t="shared" si="12"/>
        <v>46170</v>
      </c>
      <c r="M248" s="1" t="str">
        <f t="shared" ca="1" si="13"/>
        <v>CERRADO</v>
      </c>
      <c r="N248" s="1"/>
    </row>
    <row r="249" spans="1:14">
      <c r="A249" s="1">
        <v>246</v>
      </c>
      <c r="B249" s="2">
        <v>46162</v>
      </c>
      <c r="C249" s="1" t="s">
        <v>85</v>
      </c>
      <c r="D249" s="1" t="s">
        <v>738</v>
      </c>
      <c r="E249" s="1" t="s">
        <v>88</v>
      </c>
      <c r="F249" s="1" t="s">
        <v>726</v>
      </c>
      <c r="G249" s="1" t="s">
        <v>30</v>
      </c>
      <c r="H249" s="1" t="s">
        <v>31</v>
      </c>
      <c r="I249" s="1" t="s">
        <v>532</v>
      </c>
      <c r="J249" s="1"/>
      <c r="K249" s="1"/>
      <c r="L249" s="2">
        <f t="shared" si="12"/>
        <v>46167</v>
      </c>
      <c r="M249" s="1" t="str">
        <f t="shared" ca="1" si="13"/>
        <v>CERRADO</v>
      </c>
      <c r="N249" s="1"/>
    </row>
    <row r="250" spans="1:14">
      <c r="A250" s="1">
        <v>247</v>
      </c>
      <c r="B250" s="2">
        <v>46162</v>
      </c>
      <c r="C250" s="1" t="s">
        <v>85</v>
      </c>
      <c r="D250" s="1" t="s">
        <v>739</v>
      </c>
      <c r="E250" s="1" t="s">
        <v>121</v>
      </c>
      <c r="F250" s="1" t="s">
        <v>726</v>
      </c>
      <c r="G250" s="1" t="s">
        <v>518</v>
      </c>
      <c r="H250" s="1" t="s">
        <v>722</v>
      </c>
      <c r="I250" s="1" t="s">
        <v>532</v>
      </c>
      <c r="J250" s="1"/>
      <c r="K250" s="1"/>
      <c r="L250" s="2">
        <f t="shared" si="12"/>
        <v>46167</v>
      </c>
      <c r="M250" s="1" t="str">
        <f t="shared" ca="1" si="13"/>
        <v>CERRADO</v>
      </c>
      <c r="N250" s="1"/>
    </row>
    <row r="251" spans="1:14">
      <c r="A251" s="1">
        <v>248</v>
      </c>
      <c r="B251" s="2">
        <v>46162</v>
      </c>
      <c r="C251" s="1" t="s">
        <v>85</v>
      </c>
      <c r="D251" s="1" t="s">
        <v>740</v>
      </c>
      <c r="E251" s="1" t="s">
        <v>121</v>
      </c>
      <c r="F251" s="1" t="s">
        <v>726</v>
      </c>
      <c r="G251" s="1" t="s">
        <v>518</v>
      </c>
      <c r="H251" s="1" t="s">
        <v>722</v>
      </c>
      <c r="I251" s="1" t="s">
        <v>532</v>
      </c>
      <c r="J251" s="1"/>
      <c r="K251" s="1"/>
      <c r="L251" s="2">
        <f t="shared" si="12"/>
        <v>46167</v>
      </c>
      <c r="M251" s="1" t="str">
        <f t="shared" ca="1" si="13"/>
        <v>CERRADO</v>
      </c>
      <c r="N251" s="1"/>
    </row>
    <row r="252" spans="1:14">
      <c r="A252" s="1">
        <v>249</v>
      </c>
      <c r="B252" s="2">
        <v>46164</v>
      </c>
      <c r="C252" s="1" t="s">
        <v>16</v>
      </c>
      <c r="D252" s="1" t="s">
        <v>741</v>
      </c>
      <c r="E252" s="1" t="s">
        <v>162</v>
      </c>
      <c r="F252" s="1" t="s">
        <v>601</v>
      </c>
      <c r="G252" s="1" t="s">
        <v>162</v>
      </c>
      <c r="H252" s="1" t="s">
        <v>742</v>
      </c>
      <c r="I252" s="1" t="s">
        <v>743</v>
      </c>
      <c r="J252" s="1"/>
      <c r="K252" s="1"/>
      <c r="L252" s="2">
        <f t="shared" si="12"/>
        <v>46169</v>
      </c>
      <c r="M252" s="1" t="str">
        <f t="shared" ca="1" si="13"/>
        <v>CERRADO</v>
      </c>
      <c r="N252" s="1"/>
    </row>
    <row r="253" spans="1:14">
      <c r="A253" s="1">
        <v>250</v>
      </c>
      <c r="B253" s="2">
        <v>46161</v>
      </c>
      <c r="C253" s="1" t="s">
        <v>16</v>
      </c>
      <c r="D253" s="1" t="s">
        <v>744</v>
      </c>
      <c r="E253" s="1" t="s">
        <v>42</v>
      </c>
      <c r="F253" s="1" t="s">
        <v>745</v>
      </c>
      <c r="G253" s="1" t="s">
        <v>152</v>
      </c>
      <c r="H253" s="1" t="s">
        <v>153</v>
      </c>
      <c r="I253" s="1" t="s">
        <v>746</v>
      </c>
      <c r="J253" s="1"/>
      <c r="K253" s="1"/>
      <c r="L253" s="2">
        <f t="shared" si="12"/>
        <v>46166</v>
      </c>
      <c r="M253" s="1" t="str">
        <f t="shared" ca="1" si="13"/>
        <v>CERRADO</v>
      </c>
      <c r="N253" s="1"/>
    </row>
    <row r="254" spans="1:14">
      <c r="A254" s="1">
        <v>251</v>
      </c>
      <c r="B254" s="2">
        <v>46161</v>
      </c>
      <c r="C254" s="1" t="s">
        <v>16</v>
      </c>
      <c r="D254" s="1" t="s">
        <v>747</v>
      </c>
      <c r="E254" s="1" t="s">
        <v>42</v>
      </c>
      <c r="F254" s="1" t="s">
        <v>745</v>
      </c>
      <c r="G254" s="1" t="s">
        <v>152</v>
      </c>
      <c r="H254" s="1" t="s">
        <v>153</v>
      </c>
      <c r="I254" s="1" t="s">
        <v>748</v>
      </c>
      <c r="J254" s="1"/>
      <c r="K254" s="1"/>
      <c r="L254" s="2">
        <f t="shared" si="12"/>
        <v>46166</v>
      </c>
      <c r="M254" s="1" t="str">
        <f t="shared" ca="1" si="13"/>
        <v>CERRADO</v>
      </c>
      <c r="N254" s="1"/>
    </row>
    <row r="255" spans="1:14">
      <c r="A255" s="1">
        <v>252</v>
      </c>
      <c r="B255" s="2">
        <v>46161</v>
      </c>
      <c r="C255" s="1" t="s">
        <v>16</v>
      </c>
      <c r="D255" s="1" t="s">
        <v>749</v>
      </c>
      <c r="E255" s="1" t="s">
        <v>147</v>
      </c>
      <c r="F255" s="1" t="s">
        <v>750</v>
      </c>
      <c r="G255" s="1" t="s">
        <v>147</v>
      </c>
      <c r="H255" s="1" t="s">
        <v>506</v>
      </c>
      <c r="I255" s="1" t="s">
        <v>751</v>
      </c>
      <c r="J255" s="1"/>
      <c r="K255" s="1"/>
      <c r="L255" s="2">
        <f t="shared" si="12"/>
        <v>46166</v>
      </c>
      <c r="M255" s="1" t="str">
        <f t="shared" ca="1" si="13"/>
        <v>CERRADO</v>
      </c>
      <c r="N255" s="1"/>
    </row>
    <row r="256" spans="1:14">
      <c r="A256" s="1">
        <v>253</v>
      </c>
      <c r="B256" s="2">
        <v>46161</v>
      </c>
      <c r="C256" s="1" t="s">
        <v>16</v>
      </c>
      <c r="D256" s="1" t="s">
        <v>752</v>
      </c>
      <c r="E256" s="1" t="s">
        <v>147</v>
      </c>
      <c r="F256" s="1" t="s">
        <v>753</v>
      </c>
      <c r="G256" s="1" t="s">
        <v>147</v>
      </c>
      <c r="H256" s="1" t="s">
        <v>506</v>
      </c>
      <c r="I256" s="1" t="s">
        <v>754</v>
      </c>
      <c r="J256" s="1"/>
      <c r="K256" s="1"/>
      <c r="L256" s="2">
        <f t="shared" si="12"/>
        <v>46166</v>
      </c>
      <c r="M256" s="1" t="str">
        <f t="shared" ca="1" si="13"/>
        <v>CERRADO</v>
      </c>
      <c r="N256" s="1"/>
    </row>
    <row r="257" spans="1:14" ht="28.8">
      <c r="A257" s="37">
        <v>254</v>
      </c>
      <c r="B257" s="38">
        <v>46160</v>
      </c>
      <c r="C257" s="37" t="s">
        <v>49</v>
      </c>
      <c r="D257" s="37" t="s">
        <v>755</v>
      </c>
      <c r="E257" s="42" t="s">
        <v>756</v>
      </c>
      <c r="F257" s="37" t="s">
        <v>664</v>
      </c>
      <c r="G257" s="37" t="s">
        <v>30</v>
      </c>
      <c r="H257" s="37" t="s">
        <v>31</v>
      </c>
      <c r="I257" s="37" t="s">
        <v>757</v>
      </c>
      <c r="J257" s="37"/>
      <c r="K257" s="38">
        <f>B257</f>
        <v>46160</v>
      </c>
      <c r="L257" s="38">
        <f>B257</f>
        <v>46160</v>
      </c>
      <c r="M257" s="40" t="str">
        <f ca="1">IF(L257&lt;&gt;"","CERRADO",IF(K257&gt;TODAY(),"EN PROCESO",IF(L257="","ABIERTO")))</f>
        <v>CERRADO</v>
      </c>
      <c r="N257" s="37"/>
    </row>
    <row r="258" spans="1:14">
      <c r="A258" s="1">
        <v>255</v>
      </c>
      <c r="B258" s="2">
        <v>46160</v>
      </c>
      <c r="C258" s="1" t="s">
        <v>16</v>
      </c>
      <c r="D258" s="1" t="s">
        <v>758</v>
      </c>
      <c r="E258" s="10" t="s">
        <v>756</v>
      </c>
      <c r="F258" s="1" t="s">
        <v>759</v>
      </c>
      <c r="G258" s="1" t="s">
        <v>30</v>
      </c>
      <c r="H258" s="1" t="s">
        <v>31</v>
      </c>
      <c r="I258" s="1" t="s">
        <v>760</v>
      </c>
      <c r="J258" s="1"/>
      <c r="K258" s="1"/>
      <c r="L258" s="2">
        <f t="shared" ref="L258:L263" si="14">B258+5</f>
        <v>46165</v>
      </c>
      <c r="M258" s="1" t="str">
        <f t="shared" ref="M258:M263" ca="1" si="15">IF(L258&lt;TODAY(),"CERRADO","ABIERTO")</f>
        <v>CERRADO</v>
      </c>
      <c r="N258" s="1"/>
    </row>
    <row r="259" spans="1:14">
      <c r="A259" s="1">
        <v>256</v>
      </c>
      <c r="B259" s="2">
        <v>46160</v>
      </c>
      <c r="C259" s="1" t="s">
        <v>16</v>
      </c>
      <c r="D259" s="1" t="s">
        <v>761</v>
      </c>
      <c r="E259" s="10" t="s">
        <v>756</v>
      </c>
      <c r="F259" s="1" t="s">
        <v>664</v>
      </c>
      <c r="G259" s="1" t="s">
        <v>30</v>
      </c>
      <c r="H259" s="1" t="s">
        <v>31</v>
      </c>
      <c r="I259" s="1" t="s">
        <v>762</v>
      </c>
      <c r="J259" s="1"/>
      <c r="K259" s="1"/>
      <c r="L259" s="2">
        <f t="shared" si="14"/>
        <v>46165</v>
      </c>
      <c r="M259" s="1" t="str">
        <f t="shared" ca="1" si="15"/>
        <v>CERRADO</v>
      </c>
      <c r="N259" s="1"/>
    </row>
    <row r="260" spans="1:14">
      <c r="A260" s="1">
        <v>257</v>
      </c>
      <c r="B260" s="2">
        <v>46163</v>
      </c>
      <c r="C260" s="1" t="s">
        <v>16</v>
      </c>
      <c r="D260" s="1" t="s">
        <v>763</v>
      </c>
      <c r="E260" s="1" t="s">
        <v>152</v>
      </c>
      <c r="F260" s="1" t="s">
        <v>664</v>
      </c>
      <c r="G260" s="1" t="s">
        <v>152</v>
      </c>
      <c r="H260" s="1" t="s">
        <v>153</v>
      </c>
      <c r="I260" s="1" t="s">
        <v>764</v>
      </c>
      <c r="J260" s="1"/>
      <c r="K260" s="1"/>
      <c r="L260" s="2">
        <f t="shared" si="14"/>
        <v>46168</v>
      </c>
      <c r="M260" s="1" t="str">
        <f t="shared" ca="1" si="15"/>
        <v>CERRADO</v>
      </c>
      <c r="N260" s="1"/>
    </row>
    <row r="261" spans="1:14">
      <c r="A261" s="1">
        <v>258</v>
      </c>
      <c r="B261" s="2">
        <v>46163</v>
      </c>
      <c r="C261" s="1" t="s">
        <v>16</v>
      </c>
      <c r="D261" s="1" t="s">
        <v>761</v>
      </c>
      <c r="E261" s="1" t="s">
        <v>152</v>
      </c>
      <c r="F261" s="1" t="s">
        <v>664</v>
      </c>
      <c r="G261" s="1" t="s">
        <v>152</v>
      </c>
      <c r="H261" s="1" t="s">
        <v>153</v>
      </c>
      <c r="I261" s="1" t="s">
        <v>762</v>
      </c>
      <c r="J261" s="1"/>
      <c r="K261" s="1"/>
      <c r="L261" s="2">
        <f t="shared" si="14"/>
        <v>46168</v>
      </c>
      <c r="M261" s="1" t="str">
        <f t="shared" ca="1" si="15"/>
        <v>CERRADO</v>
      </c>
      <c r="N261" s="1"/>
    </row>
    <row r="262" spans="1:14">
      <c r="A262" s="1">
        <v>259</v>
      </c>
      <c r="B262" s="2">
        <v>46163</v>
      </c>
      <c r="C262" s="1" t="s">
        <v>16</v>
      </c>
      <c r="D262" s="1" t="s">
        <v>765</v>
      </c>
      <c r="E262" s="1" t="s">
        <v>152</v>
      </c>
      <c r="F262" s="1" t="s">
        <v>664</v>
      </c>
      <c r="G262" s="1" t="s">
        <v>152</v>
      </c>
      <c r="H262" s="1" t="s">
        <v>153</v>
      </c>
      <c r="I262" s="1" t="s">
        <v>764</v>
      </c>
      <c r="J262" s="1"/>
      <c r="K262" s="1"/>
      <c r="L262" s="2">
        <f t="shared" si="14"/>
        <v>46168</v>
      </c>
      <c r="M262" s="1" t="str">
        <f t="shared" ca="1" si="15"/>
        <v>CERRADO</v>
      </c>
      <c r="N262" s="1"/>
    </row>
    <row r="263" spans="1:14" ht="31.5" customHeight="1">
      <c r="A263" s="1">
        <v>260</v>
      </c>
      <c r="B263" s="2">
        <v>46163</v>
      </c>
      <c r="C263" s="1" t="s">
        <v>16</v>
      </c>
      <c r="D263" s="1" t="s">
        <v>766</v>
      </c>
      <c r="E263" s="1" t="s">
        <v>42</v>
      </c>
      <c r="F263" s="1" t="s">
        <v>767</v>
      </c>
      <c r="G263" s="1" t="s">
        <v>152</v>
      </c>
      <c r="H263" s="1" t="s">
        <v>153</v>
      </c>
      <c r="I263" s="1" t="s">
        <v>768</v>
      </c>
      <c r="J263" s="1"/>
      <c r="K263" s="1"/>
      <c r="L263" s="2">
        <f t="shared" si="14"/>
        <v>46168</v>
      </c>
      <c r="M263" s="1" t="str">
        <f t="shared" ca="1" si="15"/>
        <v>CERRADO</v>
      </c>
      <c r="N263" s="1"/>
    </row>
    <row r="264" spans="1:14" ht="16.5" customHeight="1">
      <c r="A264" s="37">
        <v>261</v>
      </c>
      <c r="B264" s="38">
        <v>46163</v>
      </c>
      <c r="C264" s="37" t="s">
        <v>16</v>
      </c>
      <c r="D264" s="37" t="s">
        <v>769</v>
      </c>
      <c r="E264" s="37" t="s">
        <v>42</v>
      </c>
      <c r="F264" s="37" t="s">
        <v>664</v>
      </c>
      <c r="G264" s="37" t="s">
        <v>152</v>
      </c>
      <c r="H264" s="37" t="s">
        <v>153</v>
      </c>
      <c r="I264" s="37" t="s">
        <v>764</v>
      </c>
      <c r="J264" s="37"/>
      <c r="K264" s="38">
        <v>46388</v>
      </c>
      <c r="L264" s="38"/>
      <c r="M264" s="40" t="str">
        <f t="shared" ref="M264:M265" ca="1" si="16">IF(L264&lt;&gt;"","CERRADO",IF(K264&gt;TODAY(),"EN PROCESO",IF(L264="","ABIERTO")))</f>
        <v>EN PROCESO</v>
      </c>
      <c r="N264" s="37"/>
    </row>
    <row r="265" spans="1:14" ht="21.75" customHeight="1">
      <c r="A265" s="37">
        <v>262</v>
      </c>
      <c r="B265" s="38">
        <v>46163</v>
      </c>
      <c r="C265" s="37" t="s">
        <v>16</v>
      </c>
      <c r="D265" s="37" t="s">
        <v>770</v>
      </c>
      <c r="E265" s="37" t="s">
        <v>42</v>
      </c>
      <c r="F265" s="37" t="s">
        <v>721</v>
      </c>
      <c r="G265" s="37" t="s">
        <v>152</v>
      </c>
      <c r="H265" s="37" t="s">
        <v>153</v>
      </c>
      <c r="I265" s="37" t="s">
        <v>771</v>
      </c>
      <c r="J265" s="37"/>
      <c r="K265" s="38">
        <v>46248</v>
      </c>
      <c r="L265" s="38"/>
      <c r="M265" s="40" t="str">
        <f t="shared" ca="1" si="16"/>
        <v>EN PROCESO</v>
      </c>
      <c r="N265" s="37"/>
    </row>
    <row r="266" spans="1:14">
      <c r="A266" s="1">
        <v>263</v>
      </c>
      <c r="B266" s="2">
        <v>46163</v>
      </c>
      <c r="C266" s="1" t="s">
        <v>16</v>
      </c>
      <c r="D266" s="1" t="s">
        <v>772</v>
      </c>
      <c r="E266" s="1" t="s">
        <v>42</v>
      </c>
      <c r="F266" s="1" t="s">
        <v>664</v>
      </c>
      <c r="G266" s="1" t="s">
        <v>152</v>
      </c>
      <c r="H266" s="1" t="s">
        <v>153</v>
      </c>
      <c r="I266" s="1" t="s">
        <v>773</v>
      </c>
      <c r="J266" s="1"/>
      <c r="K266" s="1"/>
      <c r="L266" s="2">
        <f>B266+5</f>
        <v>46168</v>
      </c>
      <c r="M266" s="1" t="str">
        <f t="shared" ref="M266" ca="1" si="17">IF(L266&lt;TODAY(),"CERRADO","ABIERTO")</f>
        <v>CERRADO</v>
      </c>
      <c r="N266" s="1"/>
    </row>
    <row r="267" spans="1:14" s="31" customFormat="1" ht="27.75" customHeight="1">
      <c r="A267" s="43">
        <v>264</v>
      </c>
      <c r="B267" s="44">
        <v>46157</v>
      </c>
      <c r="C267" s="37" t="s">
        <v>16</v>
      </c>
      <c r="D267" s="43" t="s">
        <v>774</v>
      </c>
      <c r="E267" s="43" t="s">
        <v>42</v>
      </c>
      <c r="F267" s="37" t="s">
        <v>775</v>
      </c>
      <c r="G267" s="37" t="s">
        <v>776</v>
      </c>
      <c r="H267" s="43" t="s">
        <v>153</v>
      </c>
      <c r="I267" s="43" t="s">
        <v>777</v>
      </c>
      <c r="J267" s="37"/>
      <c r="K267" s="44"/>
      <c r="L267" s="44"/>
      <c r="M267" s="43" t="str">
        <f t="shared" ref="M267:M268" ca="1" si="18">IF(L267&lt;&gt;"","CERRADO",IF(K267&gt;TODAY(),"EN PROCESO",IF(L267="","ABIERTO")))</f>
        <v>ABIERTO</v>
      </c>
      <c r="N267" s="43"/>
    </row>
    <row r="268" spans="1:14" ht="22.5" customHeight="1">
      <c r="A268" s="37">
        <v>265</v>
      </c>
      <c r="B268" s="38">
        <v>46157</v>
      </c>
      <c r="C268" s="37" t="s">
        <v>16</v>
      </c>
      <c r="D268" s="37" t="s">
        <v>778</v>
      </c>
      <c r="E268" s="37" t="s">
        <v>779</v>
      </c>
      <c r="F268" s="37" t="s">
        <v>664</v>
      </c>
      <c r="G268" s="37" t="s">
        <v>147</v>
      </c>
      <c r="H268" s="37" t="s">
        <v>780</v>
      </c>
      <c r="I268" s="37" t="s">
        <v>781</v>
      </c>
      <c r="J268" s="37"/>
      <c r="K268" s="38"/>
      <c r="L268" s="38"/>
      <c r="M268" s="40" t="str">
        <f t="shared" ca="1" si="18"/>
        <v>ABIERTO</v>
      </c>
      <c r="N268" s="37"/>
    </row>
    <row r="269" spans="1:14">
      <c r="A269" s="1">
        <v>266</v>
      </c>
      <c r="B269" s="2">
        <v>46169</v>
      </c>
      <c r="C269" s="1" t="s">
        <v>16</v>
      </c>
      <c r="D269" s="1" t="s">
        <v>782</v>
      </c>
      <c r="E269" s="1" t="s">
        <v>783</v>
      </c>
      <c r="F269" s="1" t="s">
        <v>784</v>
      </c>
      <c r="G269" s="1" t="s">
        <v>783</v>
      </c>
      <c r="H269" s="1" t="s">
        <v>785</v>
      </c>
      <c r="I269" s="1" t="s">
        <v>786</v>
      </c>
      <c r="J269" s="1"/>
      <c r="K269" s="1"/>
      <c r="L269" s="2">
        <f t="shared" ref="L269:L276" si="19">B269+5</f>
        <v>46174</v>
      </c>
      <c r="M269" s="1" t="str">
        <f t="shared" ref="M269:M276" ca="1" si="20">IF(L269&lt;TODAY(),"CERRADO","ABIERTO")</f>
        <v>CERRADO</v>
      </c>
      <c r="N269" s="1"/>
    </row>
    <row r="270" spans="1:14">
      <c r="A270" s="1">
        <v>267</v>
      </c>
      <c r="B270" s="2">
        <v>46168</v>
      </c>
      <c r="C270" s="1" t="s">
        <v>16</v>
      </c>
      <c r="D270" s="1" t="s">
        <v>650</v>
      </c>
      <c r="E270" s="1" t="s">
        <v>787</v>
      </c>
      <c r="F270" s="1" t="s">
        <v>788</v>
      </c>
      <c r="G270" s="1" t="s">
        <v>30</v>
      </c>
      <c r="H270" s="1" t="s">
        <v>31</v>
      </c>
      <c r="I270" s="1" t="s">
        <v>651</v>
      </c>
      <c r="J270" s="1"/>
      <c r="K270" s="1"/>
      <c r="L270" s="2">
        <f t="shared" si="19"/>
        <v>46173</v>
      </c>
      <c r="M270" s="1" t="str">
        <f t="shared" ca="1" si="20"/>
        <v>CERRADO</v>
      </c>
      <c r="N270" s="1"/>
    </row>
    <row r="271" spans="1:14">
      <c r="A271" s="1">
        <v>268</v>
      </c>
      <c r="B271" s="2">
        <v>46169</v>
      </c>
      <c r="C271" s="1" t="s">
        <v>16</v>
      </c>
      <c r="D271" s="1" t="s">
        <v>789</v>
      </c>
      <c r="E271" s="1" t="s">
        <v>689</v>
      </c>
      <c r="F271" s="1" t="s">
        <v>664</v>
      </c>
      <c r="G271" s="1" t="s">
        <v>121</v>
      </c>
      <c r="H271" s="1" t="s">
        <v>502</v>
      </c>
      <c r="I271" s="1" t="s">
        <v>790</v>
      </c>
      <c r="J271" s="1"/>
      <c r="K271" s="1"/>
      <c r="L271" s="2">
        <f t="shared" si="19"/>
        <v>46174</v>
      </c>
      <c r="M271" s="1" t="str">
        <f t="shared" ca="1" si="20"/>
        <v>CERRADO</v>
      </c>
      <c r="N271" s="1"/>
    </row>
    <row r="272" spans="1:14">
      <c r="A272" s="1">
        <v>269</v>
      </c>
      <c r="B272" s="2">
        <v>46169</v>
      </c>
      <c r="C272" s="1" t="s">
        <v>16</v>
      </c>
      <c r="D272" s="1" t="s">
        <v>791</v>
      </c>
      <c r="E272" s="1" t="s">
        <v>689</v>
      </c>
      <c r="F272" s="1" t="s">
        <v>792</v>
      </c>
      <c r="G272" s="1" t="s">
        <v>121</v>
      </c>
      <c r="H272" s="1" t="s">
        <v>793</v>
      </c>
      <c r="I272" s="1" t="s">
        <v>794</v>
      </c>
      <c r="J272" s="1"/>
      <c r="K272" s="1"/>
      <c r="L272" s="2">
        <f t="shared" si="19"/>
        <v>46174</v>
      </c>
      <c r="M272" s="1" t="str">
        <f t="shared" ca="1" si="20"/>
        <v>CERRADO</v>
      </c>
      <c r="N272" s="1"/>
    </row>
    <row r="273" spans="1:14">
      <c r="A273" s="1">
        <v>270</v>
      </c>
      <c r="B273" s="2">
        <v>46169</v>
      </c>
      <c r="C273" s="1" t="s">
        <v>16</v>
      </c>
      <c r="D273" s="1" t="s">
        <v>795</v>
      </c>
      <c r="E273" s="1" t="s">
        <v>121</v>
      </c>
      <c r="F273" s="1" t="s">
        <v>796</v>
      </c>
      <c r="G273" s="1" t="s">
        <v>121</v>
      </c>
      <c r="H273" s="1" t="s">
        <v>502</v>
      </c>
      <c r="I273" s="1" t="s">
        <v>797</v>
      </c>
      <c r="J273" s="1"/>
      <c r="K273" s="1"/>
      <c r="L273" s="2">
        <f t="shared" si="19"/>
        <v>46174</v>
      </c>
      <c r="M273" s="1" t="str">
        <f t="shared" ca="1" si="20"/>
        <v>CERRADO</v>
      </c>
      <c r="N273" s="1"/>
    </row>
    <row r="274" spans="1:14">
      <c r="A274" s="1">
        <v>271</v>
      </c>
      <c r="B274" s="2">
        <v>46169</v>
      </c>
      <c r="C274" s="1" t="s">
        <v>16</v>
      </c>
      <c r="D274" s="1" t="s">
        <v>798</v>
      </c>
      <c r="E274" s="1" t="s">
        <v>121</v>
      </c>
      <c r="F274" s="1" t="s">
        <v>799</v>
      </c>
      <c r="G274" s="1" t="s">
        <v>121</v>
      </c>
      <c r="H274" s="1" t="s">
        <v>793</v>
      </c>
      <c r="I274" s="1" t="s">
        <v>800</v>
      </c>
      <c r="J274" s="1"/>
      <c r="K274" s="1"/>
      <c r="L274" s="2">
        <f t="shared" si="19"/>
        <v>46174</v>
      </c>
      <c r="M274" s="1" t="str">
        <f t="shared" ca="1" si="20"/>
        <v>CERRADO</v>
      </c>
      <c r="N274" s="1"/>
    </row>
    <row r="275" spans="1:14">
      <c r="A275" s="1">
        <v>272</v>
      </c>
      <c r="B275" s="2">
        <v>46169</v>
      </c>
      <c r="C275" s="1" t="s">
        <v>16</v>
      </c>
      <c r="D275" s="1" t="s">
        <v>729</v>
      </c>
      <c r="E275" s="1" t="s">
        <v>121</v>
      </c>
      <c r="F275" s="1" t="s">
        <v>784</v>
      </c>
      <c r="G275" s="1" t="s">
        <v>121</v>
      </c>
      <c r="H275" s="1" t="s">
        <v>502</v>
      </c>
      <c r="I275" s="1" t="s">
        <v>801</v>
      </c>
      <c r="J275" s="1"/>
      <c r="K275" s="1"/>
      <c r="L275" s="2">
        <f t="shared" si="19"/>
        <v>46174</v>
      </c>
      <c r="M275" s="1" t="str">
        <f t="shared" ca="1" si="20"/>
        <v>CERRADO</v>
      </c>
      <c r="N275" s="1"/>
    </row>
    <row r="276" spans="1:14">
      <c r="A276" s="1">
        <v>273</v>
      </c>
      <c r="B276" s="2">
        <v>46169</v>
      </c>
      <c r="C276" s="1" t="s">
        <v>16</v>
      </c>
      <c r="D276" s="1" t="s">
        <v>676</v>
      </c>
      <c r="E276" s="1" t="s">
        <v>121</v>
      </c>
      <c r="F276" s="1" t="s">
        <v>792</v>
      </c>
      <c r="G276" s="1" t="s">
        <v>121</v>
      </c>
      <c r="H276" s="1" t="s">
        <v>793</v>
      </c>
      <c r="I276" s="1" t="s">
        <v>802</v>
      </c>
      <c r="J276" s="1"/>
      <c r="K276" s="1"/>
      <c r="L276" s="2">
        <f t="shared" si="19"/>
        <v>46174</v>
      </c>
      <c r="M276" s="1" t="str">
        <f t="shared" ca="1" si="20"/>
        <v>CERRADO</v>
      </c>
      <c r="N276" s="1"/>
    </row>
    <row r="277" spans="1:14" ht="21.75" customHeight="1">
      <c r="A277" s="37">
        <v>274</v>
      </c>
      <c r="B277" s="38">
        <v>46169</v>
      </c>
      <c r="C277" s="37" t="s">
        <v>16</v>
      </c>
      <c r="D277" s="37" t="s">
        <v>803</v>
      </c>
      <c r="E277" s="37" t="s">
        <v>804</v>
      </c>
      <c r="F277" s="37" t="s">
        <v>805</v>
      </c>
      <c r="G277" s="37" t="s">
        <v>152</v>
      </c>
      <c r="H277" s="37" t="s">
        <v>153</v>
      </c>
      <c r="I277" s="37" t="s">
        <v>806</v>
      </c>
      <c r="J277" s="37"/>
      <c r="K277" s="38"/>
      <c r="L277" s="38"/>
      <c r="M277" s="40" t="str">
        <f ca="1">IF(L277&lt;&gt;"","CERRADO",IF(K277&gt;TODAY(),"EN PROCESO",IF(L277="","ABIERTO")))</f>
        <v>ABIERTO</v>
      </c>
      <c r="N277" s="37"/>
    </row>
    <row r="278" spans="1:14">
      <c r="A278" s="1">
        <v>275</v>
      </c>
      <c r="B278" s="2">
        <v>46169</v>
      </c>
      <c r="C278" s="1" t="s">
        <v>16</v>
      </c>
      <c r="D278" s="1" t="s">
        <v>807</v>
      </c>
      <c r="E278" s="1" t="s">
        <v>808</v>
      </c>
      <c r="F278" s="1" t="s">
        <v>784</v>
      </c>
      <c r="G278" s="1" t="s">
        <v>152</v>
      </c>
      <c r="H278" s="1" t="s">
        <v>153</v>
      </c>
      <c r="I278" s="1" t="s">
        <v>809</v>
      </c>
      <c r="J278" s="1"/>
      <c r="K278" s="1"/>
      <c r="L278" s="2">
        <f t="shared" ref="L278:L280" si="21">B278+5</f>
        <v>46174</v>
      </c>
      <c r="M278" s="1" t="str">
        <f t="shared" ref="M278:M280" ca="1" si="22">IF(L278&lt;TODAY(),"CERRADO","ABIERTO")</f>
        <v>CERRADO</v>
      </c>
      <c r="N278" s="1"/>
    </row>
    <row r="279" spans="1:14">
      <c r="A279" s="1">
        <v>276</v>
      </c>
      <c r="B279" s="2">
        <v>46169</v>
      </c>
      <c r="C279" s="1" t="s">
        <v>16</v>
      </c>
      <c r="D279" s="1" t="s">
        <v>706</v>
      </c>
      <c r="E279" s="1" t="s">
        <v>810</v>
      </c>
      <c r="F279" s="1" t="s">
        <v>792</v>
      </c>
      <c r="G279" s="1" t="s">
        <v>152</v>
      </c>
      <c r="H279" s="1" t="s">
        <v>153</v>
      </c>
      <c r="I279" s="1" t="s">
        <v>811</v>
      </c>
      <c r="J279" s="1"/>
      <c r="K279" s="1"/>
      <c r="L279" s="2">
        <f t="shared" si="21"/>
        <v>46174</v>
      </c>
      <c r="M279" s="1" t="str">
        <f t="shared" ca="1" si="22"/>
        <v>CERRADO</v>
      </c>
      <c r="N279" s="1"/>
    </row>
    <row r="280" spans="1:14" ht="36" customHeight="1">
      <c r="A280" s="1">
        <v>277</v>
      </c>
      <c r="B280" s="2">
        <v>46170</v>
      </c>
      <c r="C280" s="1" t="s">
        <v>16</v>
      </c>
      <c r="D280" s="1" t="s">
        <v>791</v>
      </c>
      <c r="E280" s="1" t="s">
        <v>653</v>
      </c>
      <c r="F280" s="1" t="s">
        <v>792</v>
      </c>
      <c r="G280" s="1" t="s">
        <v>30</v>
      </c>
      <c r="H280" s="1" t="s">
        <v>621</v>
      </c>
      <c r="I280" s="1" t="s">
        <v>794</v>
      </c>
      <c r="J280" s="1"/>
      <c r="K280" s="1"/>
      <c r="L280" s="2">
        <f t="shared" si="21"/>
        <v>46175</v>
      </c>
      <c r="M280" s="1" t="str">
        <f t="shared" ca="1" si="22"/>
        <v>CERRADO</v>
      </c>
      <c r="N280" s="1"/>
    </row>
    <row r="281" spans="1:14" ht="13.5" customHeight="1">
      <c r="A281" s="37">
        <v>278</v>
      </c>
      <c r="B281" s="38">
        <v>46170</v>
      </c>
      <c r="C281" s="37" t="s">
        <v>16</v>
      </c>
      <c r="D281" s="37" t="s">
        <v>812</v>
      </c>
      <c r="E281" s="37" t="s">
        <v>813</v>
      </c>
      <c r="F281" s="37" t="s">
        <v>814</v>
      </c>
      <c r="G281" s="37" t="s">
        <v>30</v>
      </c>
      <c r="H281" s="37" t="s">
        <v>31</v>
      </c>
      <c r="I281" s="37" t="s">
        <v>815</v>
      </c>
      <c r="J281" s="37"/>
      <c r="K281" s="38"/>
      <c r="L281" s="38"/>
      <c r="M281" s="40" t="str">
        <f ca="1">IF(L281&lt;&gt;"","CERRADO",IF(K281&gt;TODAY(),"EN PROCESO",IF(L281="","ABIERTO")))</f>
        <v>ABIERTO</v>
      </c>
      <c r="N281" s="37"/>
    </row>
    <row r="282" spans="1:14">
      <c r="A282" s="1">
        <v>279</v>
      </c>
      <c r="B282" s="2">
        <v>46170</v>
      </c>
      <c r="C282" s="1" t="s">
        <v>16</v>
      </c>
      <c r="D282" s="1" t="s">
        <v>791</v>
      </c>
      <c r="E282" s="1" t="s">
        <v>816</v>
      </c>
      <c r="F282" s="1" t="s">
        <v>792</v>
      </c>
      <c r="G282" s="1" t="s">
        <v>121</v>
      </c>
      <c r="H282" s="1" t="s">
        <v>793</v>
      </c>
      <c r="I282" s="1" t="s">
        <v>817</v>
      </c>
      <c r="J282" s="1"/>
      <c r="K282" s="1"/>
      <c r="L282" s="2">
        <f t="shared" ref="L282:L284" si="23">B282+5</f>
        <v>46175</v>
      </c>
      <c r="M282" s="1" t="str">
        <f t="shared" ref="M282:M284" ca="1" si="24">IF(L282&lt;TODAY(),"CERRADO","ABIERTO")</f>
        <v>CERRADO</v>
      </c>
      <c r="N282" s="1"/>
    </row>
    <row r="283" spans="1:14">
      <c r="A283" s="1">
        <v>280</v>
      </c>
      <c r="B283" s="2">
        <v>46170</v>
      </c>
      <c r="C283" s="1" t="s">
        <v>16</v>
      </c>
      <c r="D283" s="1" t="s">
        <v>818</v>
      </c>
      <c r="E283" s="1" t="s">
        <v>121</v>
      </c>
      <c r="F283" s="1" t="s">
        <v>601</v>
      </c>
      <c r="G283" s="1" t="s">
        <v>121</v>
      </c>
      <c r="H283" s="1" t="s">
        <v>502</v>
      </c>
      <c r="I283" s="1" t="s">
        <v>819</v>
      </c>
      <c r="J283" s="1"/>
      <c r="K283" s="1"/>
      <c r="L283" s="2">
        <f t="shared" si="23"/>
        <v>46175</v>
      </c>
      <c r="M283" s="1" t="str">
        <f t="shared" ca="1" si="24"/>
        <v>CERRADO</v>
      </c>
      <c r="N283" s="1"/>
    </row>
    <row r="284" spans="1:14">
      <c r="A284" s="1">
        <v>281</v>
      </c>
      <c r="B284" s="2">
        <v>46171</v>
      </c>
      <c r="C284" s="1" t="s">
        <v>16</v>
      </c>
      <c r="D284" s="1" t="s">
        <v>791</v>
      </c>
      <c r="E284" s="1" t="s">
        <v>152</v>
      </c>
      <c r="F284" s="1" t="s">
        <v>792</v>
      </c>
      <c r="G284" s="1" t="s">
        <v>152</v>
      </c>
      <c r="H284" s="1" t="s">
        <v>793</v>
      </c>
      <c r="I284" s="1" t="s">
        <v>794</v>
      </c>
      <c r="J284" s="1"/>
      <c r="K284" s="1"/>
      <c r="L284" s="2">
        <f t="shared" si="23"/>
        <v>46176</v>
      </c>
      <c r="M284" s="1" t="str">
        <f t="shared" ca="1" si="24"/>
        <v>CERRADO</v>
      </c>
      <c r="N284" s="1"/>
    </row>
    <row r="285" spans="1:14" ht="18" customHeight="1">
      <c r="A285" s="37">
        <v>282</v>
      </c>
      <c r="B285" s="38">
        <v>46171</v>
      </c>
      <c r="C285" s="37" t="s">
        <v>16</v>
      </c>
      <c r="D285" s="37" t="s">
        <v>820</v>
      </c>
      <c r="E285" s="37" t="s">
        <v>152</v>
      </c>
      <c r="F285" s="37" t="s">
        <v>821</v>
      </c>
      <c r="G285" s="37" t="s">
        <v>152</v>
      </c>
      <c r="H285" s="37" t="s">
        <v>153</v>
      </c>
      <c r="I285" s="37" t="s">
        <v>822</v>
      </c>
      <c r="J285" s="37"/>
      <c r="K285" s="38"/>
      <c r="L285" s="38"/>
      <c r="M285" s="40" t="str">
        <f ca="1">IF(L285&lt;&gt;"","CERRADO",IF(K285&gt;TODAY(),"EN PROCESO",IF(L285="","ABIERTO")))</f>
        <v>ABIERTO</v>
      </c>
      <c r="N285" s="37"/>
    </row>
    <row r="286" spans="1:14">
      <c r="A286" s="1">
        <v>283</v>
      </c>
      <c r="B286" s="2">
        <v>46171</v>
      </c>
      <c r="C286" s="1" t="s">
        <v>16</v>
      </c>
      <c r="D286" s="1" t="s">
        <v>729</v>
      </c>
      <c r="E286" s="1" t="s">
        <v>689</v>
      </c>
      <c r="F286" s="1" t="s">
        <v>730</v>
      </c>
      <c r="G286" s="1" t="s">
        <v>121</v>
      </c>
      <c r="H286" s="1" t="s">
        <v>502</v>
      </c>
      <c r="I286" s="1" t="s">
        <v>801</v>
      </c>
      <c r="J286" s="1"/>
      <c r="K286" s="1"/>
      <c r="L286" s="2">
        <f t="shared" ref="L286:L293" si="25">B286+5</f>
        <v>46176</v>
      </c>
      <c r="M286" s="1" t="str">
        <f t="shared" ref="M286:M293" ca="1" si="26">IF(L286&lt;TODAY(),"CERRADO","ABIERTO")</f>
        <v>CERRADO</v>
      </c>
      <c r="N286" s="1"/>
    </row>
    <row r="287" spans="1:14">
      <c r="A287" s="1">
        <v>284</v>
      </c>
      <c r="B287" s="2">
        <v>46171</v>
      </c>
      <c r="C287" s="1" t="s">
        <v>49</v>
      </c>
      <c r="D287" s="1" t="s">
        <v>823</v>
      </c>
      <c r="E287" s="1" t="s">
        <v>689</v>
      </c>
      <c r="F287" s="1" t="s">
        <v>667</v>
      </c>
      <c r="G287" s="1" t="s">
        <v>121</v>
      </c>
      <c r="H287" s="1" t="s">
        <v>502</v>
      </c>
      <c r="I287" s="1" t="s">
        <v>824</v>
      </c>
      <c r="J287" s="1"/>
      <c r="K287" s="1"/>
      <c r="L287" s="2">
        <f t="shared" si="25"/>
        <v>46176</v>
      </c>
      <c r="M287" s="1" t="str">
        <f t="shared" ca="1" si="26"/>
        <v>CERRADO</v>
      </c>
      <c r="N287" s="1"/>
    </row>
    <row r="288" spans="1:14">
      <c r="A288" s="1">
        <v>285</v>
      </c>
      <c r="B288" s="2">
        <v>46171</v>
      </c>
      <c r="C288" s="1" t="s">
        <v>16</v>
      </c>
      <c r="D288" s="1" t="s">
        <v>825</v>
      </c>
      <c r="E288" s="1" t="s">
        <v>826</v>
      </c>
      <c r="F288" s="1" t="s">
        <v>827</v>
      </c>
      <c r="G288" s="1" t="s">
        <v>147</v>
      </c>
      <c r="H288" s="1" t="s">
        <v>506</v>
      </c>
      <c r="I288" s="1" t="s">
        <v>828</v>
      </c>
      <c r="J288" s="1"/>
      <c r="K288" s="1"/>
      <c r="L288" s="2">
        <f t="shared" si="25"/>
        <v>46176</v>
      </c>
      <c r="M288" s="1" t="str">
        <f t="shared" ca="1" si="26"/>
        <v>CERRADO</v>
      </c>
      <c r="N288" s="1"/>
    </row>
    <row r="289" spans="1:14">
      <c r="A289" s="1">
        <v>286</v>
      </c>
      <c r="B289" s="2">
        <v>46171</v>
      </c>
      <c r="C289" s="1" t="s">
        <v>16</v>
      </c>
      <c r="D289" s="1" t="s">
        <v>829</v>
      </c>
      <c r="E289" s="1" t="s">
        <v>147</v>
      </c>
      <c r="F289" s="1" t="s">
        <v>664</v>
      </c>
      <c r="G289" s="1" t="s">
        <v>147</v>
      </c>
      <c r="H289" s="1" t="s">
        <v>506</v>
      </c>
      <c r="I289" s="1" t="s">
        <v>830</v>
      </c>
      <c r="J289" s="1"/>
      <c r="K289" s="1"/>
      <c r="L289" s="2">
        <f t="shared" si="25"/>
        <v>46176</v>
      </c>
      <c r="M289" s="1" t="str">
        <f t="shared" ca="1" si="26"/>
        <v>CERRADO</v>
      </c>
      <c r="N289" s="1"/>
    </row>
    <row r="290" spans="1:14">
      <c r="A290" s="1">
        <v>287</v>
      </c>
      <c r="B290" s="2">
        <v>46171</v>
      </c>
      <c r="C290" s="1" t="s">
        <v>16</v>
      </c>
      <c r="D290" s="1" t="s">
        <v>831</v>
      </c>
      <c r="E290" s="1" t="s">
        <v>42</v>
      </c>
      <c r="F290" s="1" t="s">
        <v>664</v>
      </c>
      <c r="G290" s="1" t="s">
        <v>152</v>
      </c>
      <c r="H290" s="1" t="s">
        <v>153</v>
      </c>
      <c r="I290" s="1" t="s">
        <v>832</v>
      </c>
      <c r="J290" s="1"/>
      <c r="K290" s="1"/>
      <c r="L290" s="2">
        <f t="shared" si="25"/>
        <v>46176</v>
      </c>
      <c r="M290" s="1" t="str">
        <f t="shared" ca="1" si="26"/>
        <v>CERRADO</v>
      </c>
      <c r="N290" s="1"/>
    </row>
    <row r="291" spans="1:14">
      <c r="A291" s="1">
        <v>288</v>
      </c>
      <c r="B291" s="2">
        <v>46171</v>
      </c>
      <c r="C291" s="1" t="s">
        <v>16</v>
      </c>
      <c r="D291" s="1" t="s">
        <v>833</v>
      </c>
      <c r="E291" s="1" t="s">
        <v>42</v>
      </c>
      <c r="F291" s="1" t="s">
        <v>664</v>
      </c>
      <c r="G291" s="1" t="s">
        <v>776</v>
      </c>
      <c r="H291" s="1" t="s">
        <v>153</v>
      </c>
      <c r="I291" s="1" t="s">
        <v>834</v>
      </c>
      <c r="J291" s="1"/>
      <c r="K291" s="1"/>
      <c r="L291" s="2">
        <f t="shared" si="25"/>
        <v>46176</v>
      </c>
      <c r="M291" s="1" t="str">
        <f t="shared" ca="1" si="26"/>
        <v>CERRADO</v>
      </c>
      <c r="N291" s="1"/>
    </row>
    <row r="292" spans="1:14">
      <c r="A292" s="1">
        <v>289</v>
      </c>
      <c r="B292" s="2">
        <v>46171</v>
      </c>
      <c r="C292" s="1" t="s">
        <v>16</v>
      </c>
      <c r="D292" s="1" t="s">
        <v>835</v>
      </c>
      <c r="E292" s="1" t="s">
        <v>42</v>
      </c>
      <c r="F292" s="1" t="s">
        <v>836</v>
      </c>
      <c r="G292" s="1" t="s">
        <v>776</v>
      </c>
      <c r="H292" s="1" t="s">
        <v>153</v>
      </c>
      <c r="I292" s="1" t="s">
        <v>837</v>
      </c>
      <c r="J292" s="1"/>
      <c r="K292" s="1"/>
      <c r="L292" s="2">
        <f t="shared" si="25"/>
        <v>46176</v>
      </c>
      <c r="M292" s="1" t="str">
        <f t="shared" ca="1" si="26"/>
        <v>CERRADO</v>
      </c>
      <c r="N292" s="1"/>
    </row>
    <row r="293" spans="1:14" ht="21.75" customHeight="1">
      <c r="A293" s="1">
        <v>290</v>
      </c>
      <c r="B293" s="2">
        <v>46146</v>
      </c>
      <c r="C293" s="1" t="s">
        <v>16</v>
      </c>
      <c r="D293" s="1" t="s">
        <v>838</v>
      </c>
      <c r="E293" s="1" t="s">
        <v>735</v>
      </c>
      <c r="F293" s="1" t="s">
        <v>839</v>
      </c>
      <c r="G293" s="1" t="s">
        <v>30</v>
      </c>
      <c r="H293" s="1" t="s">
        <v>840</v>
      </c>
      <c r="I293" s="1" t="s">
        <v>841</v>
      </c>
      <c r="J293" s="1"/>
      <c r="K293" s="1"/>
      <c r="L293" s="2">
        <f t="shared" si="25"/>
        <v>46151</v>
      </c>
      <c r="M293" s="1" t="str">
        <f t="shared" ca="1" si="26"/>
        <v>CERRADO</v>
      </c>
      <c r="N293" s="1"/>
    </row>
    <row r="294" spans="1:14" ht="17.25" customHeight="1">
      <c r="A294" s="37">
        <v>291</v>
      </c>
      <c r="B294" s="38">
        <v>46146</v>
      </c>
      <c r="C294" s="37" t="s">
        <v>16</v>
      </c>
      <c r="D294" s="37" t="s">
        <v>842</v>
      </c>
      <c r="E294" s="37" t="s">
        <v>735</v>
      </c>
      <c r="F294" s="37" t="s">
        <v>839</v>
      </c>
      <c r="G294" s="37" t="s">
        <v>30</v>
      </c>
      <c r="H294" s="37" t="s">
        <v>785</v>
      </c>
      <c r="I294" s="37" t="s">
        <v>843</v>
      </c>
      <c r="J294" s="37"/>
      <c r="K294" s="38"/>
      <c r="L294" s="38"/>
      <c r="M294" s="40" t="str">
        <f ca="1">IF(L294&lt;&gt;"","CERRADO",IF(K294&gt;TODAY(),"EN PROCESO",IF(L294="","ABIERTO")))</f>
        <v>ABIERTO</v>
      </c>
      <c r="N294" s="37"/>
    </row>
    <row r="295" spans="1:14">
      <c r="A295" s="1">
        <v>292</v>
      </c>
      <c r="B295" s="2">
        <v>46162</v>
      </c>
      <c r="C295" s="1" t="s">
        <v>16</v>
      </c>
      <c r="D295" s="1" t="s">
        <v>844</v>
      </c>
      <c r="E295" s="1" t="s">
        <v>121</v>
      </c>
      <c r="F295" s="1" t="s">
        <v>472</v>
      </c>
      <c r="G295" s="1" t="s">
        <v>121</v>
      </c>
      <c r="H295" s="1" t="s">
        <v>502</v>
      </c>
      <c r="I295" s="1" t="s">
        <v>845</v>
      </c>
      <c r="J295" s="1"/>
      <c r="K295" s="1"/>
      <c r="L295" s="2">
        <f t="shared" ref="L295:L296" si="27">B295+5</f>
        <v>46167</v>
      </c>
      <c r="M295" s="1" t="str">
        <f t="shared" ref="M295:M296" ca="1" si="28">IF(L295&lt;TODAY(),"CERRADO","ABIERTO")</f>
        <v>CERRADO</v>
      </c>
      <c r="N295" s="1"/>
    </row>
    <row r="296" spans="1:14">
      <c r="A296" s="1">
        <v>293</v>
      </c>
      <c r="B296" s="2">
        <v>46162</v>
      </c>
      <c r="C296" s="1" t="s">
        <v>16</v>
      </c>
      <c r="D296" s="1" t="s">
        <v>846</v>
      </c>
      <c r="E296" s="1" t="s">
        <v>121</v>
      </c>
      <c r="F296" s="1" t="s">
        <v>472</v>
      </c>
      <c r="G296" s="1" t="s">
        <v>121</v>
      </c>
      <c r="H296" s="1" t="s">
        <v>502</v>
      </c>
      <c r="I296" s="1" t="s">
        <v>847</v>
      </c>
      <c r="J296" s="1"/>
      <c r="K296" s="1"/>
      <c r="L296" s="2">
        <f t="shared" si="27"/>
        <v>46167</v>
      </c>
      <c r="M296" s="1" t="str">
        <f t="shared" ca="1" si="28"/>
        <v>CERRADO</v>
      </c>
      <c r="N296" s="1"/>
    </row>
    <row r="297" spans="1:14" ht="15.75" customHeight="1">
      <c r="A297" s="37">
        <v>294</v>
      </c>
      <c r="B297" s="38">
        <v>46146</v>
      </c>
      <c r="C297" s="37" t="s">
        <v>16</v>
      </c>
      <c r="D297" s="37" t="s">
        <v>848</v>
      </c>
      <c r="E297" s="37" t="s">
        <v>88</v>
      </c>
      <c r="F297" s="37" t="s">
        <v>730</v>
      </c>
      <c r="G297" s="37" t="s">
        <v>88</v>
      </c>
      <c r="H297" s="37" t="s">
        <v>785</v>
      </c>
      <c r="I297" s="37" t="s">
        <v>849</v>
      </c>
      <c r="J297" s="37"/>
      <c r="K297" s="38"/>
      <c r="L297" s="38"/>
      <c r="M297" s="40" t="str">
        <f ca="1">IF(L297&lt;&gt;"","CERRADO",IF(K297&gt;TODAY(),"EN PROCESO",IF(L297="","ABIERTO")))</f>
        <v>ABIERTO</v>
      </c>
      <c r="N297" s="37"/>
    </row>
    <row r="298" spans="1:14">
      <c r="A298" s="1">
        <v>295</v>
      </c>
      <c r="B298" s="2">
        <v>46170</v>
      </c>
      <c r="C298" s="1" t="s">
        <v>16</v>
      </c>
      <c r="D298" s="1" t="s">
        <v>850</v>
      </c>
      <c r="E298" s="1" t="s">
        <v>851</v>
      </c>
      <c r="F298" s="1" t="s">
        <v>701</v>
      </c>
      <c r="G298" s="1" t="s">
        <v>147</v>
      </c>
      <c r="H298" s="1" t="s">
        <v>506</v>
      </c>
      <c r="I298" s="1" t="s">
        <v>852</v>
      </c>
      <c r="J298" s="1"/>
      <c r="K298" s="1"/>
      <c r="L298" s="2">
        <f>B298+5</f>
        <v>46175</v>
      </c>
      <c r="M298" s="1" t="str">
        <f t="shared" ref="M298" ca="1" si="29">IF(L298&lt;TODAY(),"CERRADO","ABIERTO")</f>
        <v>CERRADO</v>
      </c>
      <c r="N298" s="1"/>
    </row>
    <row r="299" spans="1:14" ht="18" customHeight="1">
      <c r="A299" s="37">
        <v>296</v>
      </c>
      <c r="B299" s="38">
        <v>46170</v>
      </c>
      <c r="C299" s="37" t="s">
        <v>16</v>
      </c>
      <c r="D299" s="37" t="s">
        <v>853</v>
      </c>
      <c r="E299" s="37" t="s">
        <v>854</v>
      </c>
      <c r="F299" s="37" t="s">
        <v>855</v>
      </c>
      <c r="G299" s="37" t="s">
        <v>147</v>
      </c>
      <c r="H299" s="37" t="s">
        <v>506</v>
      </c>
      <c r="I299" s="37" t="s">
        <v>856</v>
      </c>
      <c r="J299" s="37"/>
      <c r="K299" s="38"/>
      <c r="L299" s="38"/>
      <c r="M299" s="40" t="str">
        <f ca="1">IF(L299&lt;&gt;"","CERRADO",IF(K299&gt;TODAY(),"EN PROCESO",IF(L299="","ABIERTO")))</f>
        <v>ABIERTO</v>
      </c>
      <c r="N299" s="37"/>
    </row>
    <row r="300" spans="1:14">
      <c r="A300" s="1">
        <v>297</v>
      </c>
      <c r="B300" s="2">
        <v>46170</v>
      </c>
      <c r="C300" s="1" t="s">
        <v>16</v>
      </c>
      <c r="D300" s="1" t="s">
        <v>857</v>
      </c>
      <c r="E300" s="1" t="s">
        <v>298</v>
      </c>
      <c r="F300" s="1" t="s">
        <v>858</v>
      </c>
      <c r="G300" s="1" t="s">
        <v>147</v>
      </c>
      <c r="H300" s="1" t="s">
        <v>506</v>
      </c>
      <c r="I300" s="1" t="s">
        <v>859</v>
      </c>
      <c r="J300" s="1"/>
      <c r="K300" s="1"/>
      <c r="L300" s="2">
        <f t="shared" ref="L300:L302" si="30">B300+5</f>
        <v>46175</v>
      </c>
      <c r="M300" s="1" t="str">
        <f t="shared" ref="M300:M302" ca="1" si="31">IF(L300&lt;TODAY(),"CERRADO","ABIERTO")</f>
        <v>CERRADO</v>
      </c>
      <c r="N300" s="1"/>
    </row>
    <row r="301" spans="1:14">
      <c r="A301" s="1">
        <v>298</v>
      </c>
      <c r="B301" s="2">
        <v>46170</v>
      </c>
      <c r="C301" s="1" t="s">
        <v>16</v>
      </c>
      <c r="D301" s="1" t="s">
        <v>860</v>
      </c>
      <c r="E301" s="1" t="s">
        <v>298</v>
      </c>
      <c r="F301" s="1" t="s">
        <v>839</v>
      </c>
      <c r="G301" s="1" t="s">
        <v>147</v>
      </c>
      <c r="H301" s="1" t="s">
        <v>506</v>
      </c>
      <c r="I301" s="1" t="s">
        <v>861</v>
      </c>
      <c r="J301" s="1"/>
      <c r="K301" s="1"/>
      <c r="L301" s="2">
        <f t="shared" si="30"/>
        <v>46175</v>
      </c>
      <c r="M301" s="1" t="str">
        <f t="shared" ca="1" si="31"/>
        <v>CERRADO</v>
      </c>
      <c r="N301" s="1"/>
    </row>
    <row r="302" spans="1:14">
      <c r="A302" s="1">
        <v>299</v>
      </c>
      <c r="B302" s="2">
        <v>46170</v>
      </c>
      <c r="C302" s="1" t="s">
        <v>16</v>
      </c>
      <c r="D302" s="1" t="s">
        <v>862</v>
      </c>
      <c r="E302" s="1" t="s">
        <v>147</v>
      </c>
      <c r="F302" s="1" t="s">
        <v>667</v>
      </c>
      <c r="G302" s="1" t="s">
        <v>147</v>
      </c>
      <c r="H302" s="1" t="s">
        <v>506</v>
      </c>
      <c r="I302" s="1" t="s">
        <v>863</v>
      </c>
      <c r="J302" s="1"/>
      <c r="K302" s="1"/>
      <c r="L302" s="2">
        <f t="shared" si="30"/>
        <v>46175</v>
      </c>
      <c r="M302" s="1" t="str">
        <f t="shared" ca="1" si="31"/>
        <v>CERRADO</v>
      </c>
      <c r="N302" s="1"/>
    </row>
    <row r="303" spans="1:14" ht="17.25" customHeight="1">
      <c r="A303" s="37">
        <v>300</v>
      </c>
      <c r="B303" s="38">
        <v>46170</v>
      </c>
      <c r="C303" s="37" t="s">
        <v>16</v>
      </c>
      <c r="D303" s="37" t="s">
        <v>864</v>
      </c>
      <c r="E303" s="37" t="s">
        <v>147</v>
      </c>
      <c r="F303" s="37" t="s">
        <v>667</v>
      </c>
      <c r="G303" s="37" t="s">
        <v>147</v>
      </c>
      <c r="H303" s="37" t="s">
        <v>506</v>
      </c>
      <c r="I303" s="37" t="s">
        <v>865</v>
      </c>
      <c r="J303" s="37"/>
      <c r="K303" s="38"/>
      <c r="L303" s="38"/>
      <c r="M303" s="40" t="str">
        <f ca="1">IF(L303&lt;&gt;"","CERRADO",IF(K303&gt;TODAY(),"EN PROCESO",IF(L303="","ABIERTO")))</f>
        <v>ABIERTO</v>
      </c>
      <c r="N303" s="37"/>
    </row>
    <row r="304" spans="1:14">
      <c r="A304" s="1">
        <v>301</v>
      </c>
      <c r="B304" s="2">
        <v>46170</v>
      </c>
      <c r="C304" s="1" t="s">
        <v>16</v>
      </c>
      <c r="D304" s="1" t="s">
        <v>866</v>
      </c>
      <c r="E304" s="1" t="s">
        <v>147</v>
      </c>
      <c r="F304" s="1" t="s">
        <v>667</v>
      </c>
      <c r="G304" s="1" t="s">
        <v>147</v>
      </c>
      <c r="H304" s="1" t="s">
        <v>506</v>
      </c>
      <c r="I304" s="1" t="s">
        <v>863</v>
      </c>
      <c r="J304" s="1"/>
      <c r="K304" s="1"/>
      <c r="L304" s="2">
        <f t="shared" ref="L304:L328" si="32">B304+5</f>
        <v>46175</v>
      </c>
      <c r="M304" s="1" t="str">
        <f t="shared" ref="M304:M328" ca="1" si="33">IF(L304&lt;TODAY(),"CERRADO","ABIERTO")</f>
        <v>CERRADO</v>
      </c>
      <c r="N304" s="1"/>
    </row>
    <row r="305" spans="1:14">
      <c r="A305" s="1">
        <v>302</v>
      </c>
      <c r="B305" s="2">
        <v>46170</v>
      </c>
      <c r="C305" s="1" t="s">
        <v>16</v>
      </c>
      <c r="D305" s="1" t="s">
        <v>867</v>
      </c>
      <c r="E305" s="1" t="s">
        <v>147</v>
      </c>
      <c r="F305" s="1" t="s">
        <v>868</v>
      </c>
      <c r="G305" s="1" t="s">
        <v>147</v>
      </c>
      <c r="H305" s="1" t="s">
        <v>506</v>
      </c>
      <c r="I305" s="1" t="s">
        <v>869</v>
      </c>
      <c r="J305" s="1"/>
      <c r="K305" s="1"/>
      <c r="L305" s="2">
        <f t="shared" si="32"/>
        <v>46175</v>
      </c>
      <c r="M305" s="1" t="str">
        <f t="shared" ca="1" si="33"/>
        <v>CERRADO</v>
      </c>
      <c r="N305" s="1"/>
    </row>
    <row r="306" spans="1:14">
      <c r="A306" s="1">
        <v>303</v>
      </c>
      <c r="B306" s="2">
        <v>46174</v>
      </c>
      <c r="C306" s="1" t="s">
        <v>16</v>
      </c>
      <c r="D306" s="1" t="s">
        <v>870</v>
      </c>
      <c r="E306" s="1" t="s">
        <v>247</v>
      </c>
      <c r="F306" s="1" t="s">
        <v>792</v>
      </c>
      <c r="G306" s="1" t="s">
        <v>121</v>
      </c>
      <c r="H306" s="1" t="s">
        <v>793</v>
      </c>
      <c r="I306" s="1" t="s">
        <v>871</v>
      </c>
      <c r="J306" s="1"/>
      <c r="K306" s="1"/>
      <c r="L306" s="2">
        <f t="shared" si="32"/>
        <v>46179</v>
      </c>
      <c r="M306" s="1" t="str">
        <f t="shared" ca="1" si="33"/>
        <v>CERRADO</v>
      </c>
      <c r="N306" s="1"/>
    </row>
    <row r="307" spans="1:14">
      <c r="A307" s="1">
        <v>304</v>
      </c>
      <c r="B307" s="2">
        <v>46178</v>
      </c>
      <c r="C307" s="1" t="s">
        <v>16</v>
      </c>
      <c r="D307" s="1" t="s">
        <v>872</v>
      </c>
      <c r="E307" s="1" t="s">
        <v>121</v>
      </c>
      <c r="F307" s="1" t="s">
        <v>667</v>
      </c>
      <c r="G307" s="1" t="s">
        <v>121</v>
      </c>
      <c r="H307" s="1" t="s">
        <v>502</v>
      </c>
      <c r="I307" s="1" t="s">
        <v>873</v>
      </c>
      <c r="J307" s="1"/>
      <c r="K307" s="1"/>
      <c r="L307" s="2">
        <f t="shared" si="32"/>
        <v>46183</v>
      </c>
      <c r="M307" s="1" t="str">
        <f t="shared" ca="1" si="33"/>
        <v>CERRADO</v>
      </c>
      <c r="N307" s="1"/>
    </row>
    <row r="308" spans="1:14">
      <c r="A308" s="1">
        <v>305</v>
      </c>
      <c r="B308" s="2">
        <v>46178</v>
      </c>
      <c r="C308" s="1" t="s">
        <v>16</v>
      </c>
      <c r="D308" s="1" t="s">
        <v>874</v>
      </c>
      <c r="E308" s="1" t="s">
        <v>875</v>
      </c>
      <c r="F308" s="1" t="s">
        <v>667</v>
      </c>
      <c r="G308" s="1" t="s">
        <v>88</v>
      </c>
      <c r="H308" s="1" t="s">
        <v>307</v>
      </c>
      <c r="I308" s="1" t="s">
        <v>876</v>
      </c>
      <c r="J308" s="1"/>
      <c r="K308" s="1"/>
      <c r="L308" s="2">
        <f t="shared" si="32"/>
        <v>46183</v>
      </c>
      <c r="M308" s="1" t="str">
        <f t="shared" ca="1" si="33"/>
        <v>CERRADO</v>
      </c>
      <c r="N308" s="1"/>
    </row>
    <row r="309" spans="1:14">
      <c r="A309" s="1">
        <v>306</v>
      </c>
      <c r="B309" s="2">
        <v>46182</v>
      </c>
      <c r="C309" s="1" t="s">
        <v>16</v>
      </c>
      <c r="D309" s="1" t="s">
        <v>877</v>
      </c>
      <c r="E309" s="1" t="s">
        <v>878</v>
      </c>
      <c r="F309" s="1" t="s">
        <v>661</v>
      </c>
      <c r="G309" s="1" t="s">
        <v>30</v>
      </c>
      <c r="H309" s="1" t="s">
        <v>31</v>
      </c>
      <c r="I309" s="1" t="s">
        <v>879</v>
      </c>
      <c r="J309" s="1"/>
      <c r="K309" s="1"/>
      <c r="L309" s="2">
        <f t="shared" si="32"/>
        <v>46187</v>
      </c>
      <c r="M309" s="1" t="str">
        <f t="shared" ca="1" si="33"/>
        <v>CERRADO</v>
      </c>
      <c r="N309" s="1"/>
    </row>
    <row r="310" spans="1:14">
      <c r="A310" s="1">
        <v>307</v>
      </c>
      <c r="B310" s="2">
        <v>46183</v>
      </c>
      <c r="C310" s="1" t="s">
        <v>16</v>
      </c>
      <c r="D310" s="1" t="s">
        <v>729</v>
      </c>
      <c r="E310" s="1" t="s">
        <v>880</v>
      </c>
      <c r="F310" s="1" t="s">
        <v>730</v>
      </c>
      <c r="G310" s="1" t="s">
        <v>121</v>
      </c>
      <c r="H310" s="1" t="s">
        <v>502</v>
      </c>
      <c r="I310" s="1" t="s">
        <v>801</v>
      </c>
      <c r="J310" s="1"/>
      <c r="K310" s="1"/>
      <c r="L310" s="2">
        <f t="shared" si="32"/>
        <v>46188</v>
      </c>
      <c r="M310" s="1" t="str">
        <f t="shared" ca="1" si="33"/>
        <v>CERRADO</v>
      </c>
      <c r="N310" s="1"/>
    </row>
    <row r="311" spans="1:14">
      <c r="A311" s="1">
        <v>308</v>
      </c>
      <c r="B311" s="2">
        <v>46183</v>
      </c>
      <c r="C311" s="1" t="s">
        <v>16</v>
      </c>
      <c r="D311" s="1" t="s">
        <v>881</v>
      </c>
      <c r="E311" s="1" t="s">
        <v>121</v>
      </c>
      <c r="F311" s="1" t="s">
        <v>129</v>
      </c>
      <c r="G311" s="1" t="s">
        <v>121</v>
      </c>
      <c r="H311" s="1" t="s">
        <v>21</v>
      </c>
      <c r="I311" s="1" t="s">
        <v>882</v>
      </c>
      <c r="J311" s="1"/>
      <c r="K311" s="1"/>
      <c r="L311" s="2">
        <f t="shared" si="32"/>
        <v>46188</v>
      </c>
      <c r="M311" s="1" t="str">
        <f t="shared" ca="1" si="33"/>
        <v>CERRADO</v>
      </c>
      <c r="N311" s="1"/>
    </row>
    <row r="312" spans="1:14">
      <c r="A312" s="1">
        <v>309</v>
      </c>
      <c r="B312" s="2">
        <v>46184</v>
      </c>
      <c r="C312" s="1" t="s">
        <v>16</v>
      </c>
      <c r="D312" s="1" t="s">
        <v>729</v>
      </c>
      <c r="E312" s="1" t="s">
        <v>883</v>
      </c>
      <c r="F312" s="1" t="s">
        <v>884</v>
      </c>
      <c r="G312" s="1" t="s">
        <v>121</v>
      </c>
      <c r="H312" s="1" t="s">
        <v>502</v>
      </c>
      <c r="I312" s="1" t="s">
        <v>801</v>
      </c>
      <c r="J312" s="1"/>
      <c r="K312" s="1"/>
      <c r="L312" s="2">
        <f t="shared" si="32"/>
        <v>46189</v>
      </c>
      <c r="M312" s="1" t="str">
        <f t="shared" ca="1" si="33"/>
        <v>CERRADO</v>
      </c>
      <c r="N312" s="1"/>
    </row>
    <row r="313" spans="1:14">
      <c r="A313" s="1">
        <v>310</v>
      </c>
      <c r="B313" s="2">
        <v>46184</v>
      </c>
      <c r="C313" s="1" t="s">
        <v>16</v>
      </c>
      <c r="D313" s="1" t="s">
        <v>885</v>
      </c>
      <c r="E313" s="1" t="s">
        <v>121</v>
      </c>
      <c r="F313" s="1" t="s">
        <v>730</v>
      </c>
      <c r="G313" s="1" t="s">
        <v>121</v>
      </c>
      <c r="H313" s="1" t="s">
        <v>502</v>
      </c>
      <c r="I313" s="1" t="s">
        <v>886</v>
      </c>
      <c r="J313" s="1"/>
      <c r="K313" s="1"/>
      <c r="L313" s="2">
        <f t="shared" si="32"/>
        <v>46189</v>
      </c>
      <c r="M313" s="1" t="str">
        <f t="shared" ca="1" si="33"/>
        <v>CERRADO</v>
      </c>
      <c r="N313" s="1" t="s">
        <v>887</v>
      </c>
    </row>
    <row r="314" spans="1:14">
      <c r="A314" s="1">
        <v>311</v>
      </c>
      <c r="B314" s="2">
        <v>46184</v>
      </c>
      <c r="C314" s="1" t="s">
        <v>16</v>
      </c>
      <c r="D314" s="1" t="s">
        <v>888</v>
      </c>
      <c r="E314" s="1" t="s">
        <v>889</v>
      </c>
      <c r="F314" s="1" t="s">
        <v>890</v>
      </c>
      <c r="G314" s="1" t="s">
        <v>30</v>
      </c>
      <c r="H314" s="1" t="s">
        <v>31</v>
      </c>
      <c r="I314" s="1" t="s">
        <v>891</v>
      </c>
      <c r="J314" s="1"/>
      <c r="K314" s="1"/>
      <c r="L314" s="2">
        <f t="shared" si="32"/>
        <v>46189</v>
      </c>
      <c r="M314" s="1" t="str">
        <f t="shared" ca="1" si="33"/>
        <v>CERRADO</v>
      </c>
      <c r="N314" s="1"/>
    </row>
    <row r="315" spans="1:14">
      <c r="A315" s="1">
        <v>312</v>
      </c>
      <c r="B315" s="2">
        <v>46185</v>
      </c>
      <c r="C315" s="1" t="s">
        <v>16</v>
      </c>
      <c r="D315" s="1" t="s">
        <v>892</v>
      </c>
      <c r="E315" s="1" t="s">
        <v>121</v>
      </c>
      <c r="F315" s="1" t="s">
        <v>788</v>
      </c>
      <c r="G315" s="1" t="s">
        <v>121</v>
      </c>
      <c r="H315" s="1" t="s">
        <v>502</v>
      </c>
      <c r="I315" s="1" t="s">
        <v>893</v>
      </c>
      <c r="J315" s="1"/>
      <c r="K315" s="1"/>
      <c r="L315" s="2">
        <f t="shared" si="32"/>
        <v>46190</v>
      </c>
      <c r="M315" s="1" t="str">
        <f t="shared" ca="1" si="33"/>
        <v>CERRADO</v>
      </c>
      <c r="N315" s="1"/>
    </row>
    <row r="316" spans="1:14">
      <c r="A316" s="1">
        <v>313</v>
      </c>
      <c r="B316" s="2">
        <v>46189</v>
      </c>
      <c r="C316" s="1" t="s">
        <v>16</v>
      </c>
      <c r="D316" s="1" t="s">
        <v>894</v>
      </c>
      <c r="E316" s="1" t="s">
        <v>895</v>
      </c>
      <c r="F316" s="1" t="s">
        <v>788</v>
      </c>
      <c r="G316" s="1" t="s">
        <v>162</v>
      </c>
      <c r="H316" s="1" t="s">
        <v>896</v>
      </c>
      <c r="I316" s="1" t="s">
        <v>897</v>
      </c>
      <c r="J316" s="1"/>
      <c r="K316" s="1"/>
      <c r="L316" s="2">
        <f t="shared" si="32"/>
        <v>46194</v>
      </c>
      <c r="M316" s="1" t="str">
        <f t="shared" ca="1" si="33"/>
        <v>CERRADO</v>
      </c>
      <c r="N316" s="1"/>
    </row>
    <row r="317" spans="1:14">
      <c r="A317" s="1">
        <v>314</v>
      </c>
      <c r="B317" s="2">
        <v>46189</v>
      </c>
      <c r="C317" s="1" t="s">
        <v>16</v>
      </c>
      <c r="D317" s="1" t="s">
        <v>898</v>
      </c>
      <c r="E317" s="1" t="s">
        <v>121</v>
      </c>
      <c r="F317" s="1" t="s">
        <v>667</v>
      </c>
      <c r="G317" s="1" t="s">
        <v>121</v>
      </c>
      <c r="H317" s="1" t="s">
        <v>899</v>
      </c>
      <c r="I317" s="1" t="s">
        <v>900</v>
      </c>
      <c r="J317" s="1"/>
      <c r="K317" s="1"/>
      <c r="L317" s="2">
        <f t="shared" si="32"/>
        <v>46194</v>
      </c>
      <c r="M317" s="1" t="str">
        <f t="shared" ca="1" si="33"/>
        <v>CERRADO</v>
      </c>
      <c r="N317" s="1"/>
    </row>
    <row r="318" spans="1:14">
      <c r="A318" s="1">
        <v>315</v>
      </c>
      <c r="B318" s="2">
        <v>46192</v>
      </c>
      <c r="C318" s="1" t="s">
        <v>16</v>
      </c>
      <c r="D318" s="1" t="s">
        <v>901</v>
      </c>
      <c r="E318" s="1" t="s">
        <v>883</v>
      </c>
      <c r="F318" s="1" t="s">
        <v>902</v>
      </c>
      <c r="G318" s="1" t="s">
        <v>121</v>
      </c>
      <c r="H318" s="1" t="s">
        <v>896</v>
      </c>
      <c r="I318" s="1" t="s">
        <v>903</v>
      </c>
      <c r="J318" s="1"/>
      <c r="K318" s="1"/>
      <c r="L318" s="2">
        <f t="shared" si="32"/>
        <v>46197</v>
      </c>
      <c r="M318" s="1" t="str">
        <f t="shared" ca="1" si="33"/>
        <v>CERRADO</v>
      </c>
      <c r="N318" s="1"/>
    </row>
    <row r="319" spans="1:14">
      <c r="A319" s="1">
        <v>316</v>
      </c>
      <c r="B319" s="2">
        <v>46192</v>
      </c>
      <c r="C319" s="1" t="s">
        <v>16</v>
      </c>
      <c r="D319" s="1" t="s">
        <v>904</v>
      </c>
      <c r="E319" s="1" t="s">
        <v>905</v>
      </c>
      <c r="F319" s="1" t="s">
        <v>678</v>
      </c>
      <c r="G319" s="1" t="s">
        <v>162</v>
      </c>
      <c r="H319" s="1" t="s">
        <v>621</v>
      </c>
      <c r="I319" s="1" t="s">
        <v>906</v>
      </c>
      <c r="J319" s="1"/>
      <c r="K319" s="1"/>
      <c r="L319" s="2">
        <f t="shared" si="32"/>
        <v>46197</v>
      </c>
      <c r="M319" s="1" t="str">
        <f t="shared" ca="1" si="33"/>
        <v>CERRADO</v>
      </c>
      <c r="N319" s="1"/>
    </row>
    <row r="320" spans="1:14">
      <c r="A320" s="1">
        <v>317</v>
      </c>
      <c r="B320" s="2">
        <v>46192</v>
      </c>
      <c r="C320" s="1" t="s">
        <v>16</v>
      </c>
      <c r="D320" s="1" t="s">
        <v>907</v>
      </c>
      <c r="E320" s="1" t="s">
        <v>908</v>
      </c>
      <c r="F320" s="1" t="s">
        <v>909</v>
      </c>
      <c r="G320" s="1" t="s">
        <v>121</v>
      </c>
      <c r="H320" s="1" t="s">
        <v>21</v>
      </c>
      <c r="I320" s="1" t="s">
        <v>910</v>
      </c>
      <c r="J320" s="1"/>
      <c r="K320" s="1"/>
      <c r="L320" s="2">
        <f t="shared" si="32"/>
        <v>46197</v>
      </c>
      <c r="M320" s="1" t="str">
        <f t="shared" ca="1" si="33"/>
        <v>CERRADO</v>
      </c>
      <c r="N320" s="1"/>
    </row>
    <row r="321" spans="1:14">
      <c r="A321" s="1">
        <v>318</v>
      </c>
      <c r="B321" s="2">
        <v>46193</v>
      </c>
      <c r="C321" s="1" t="s">
        <v>16</v>
      </c>
      <c r="D321" s="1" t="s">
        <v>911</v>
      </c>
      <c r="E321" s="1" t="s">
        <v>152</v>
      </c>
      <c r="F321" s="1" t="s">
        <v>661</v>
      </c>
      <c r="G321" s="1" t="s">
        <v>152</v>
      </c>
      <c r="H321" s="1" t="s">
        <v>912</v>
      </c>
      <c r="I321" s="1" t="s">
        <v>913</v>
      </c>
      <c r="J321" s="1"/>
      <c r="K321" s="1"/>
      <c r="L321" s="2">
        <f t="shared" si="32"/>
        <v>46198</v>
      </c>
      <c r="M321" s="1" t="str">
        <f t="shared" ca="1" si="33"/>
        <v>CERRADO</v>
      </c>
      <c r="N321" s="1"/>
    </row>
    <row r="322" spans="1:14">
      <c r="A322" s="1">
        <v>319</v>
      </c>
      <c r="B322" s="2">
        <v>46195</v>
      </c>
      <c r="C322" s="1" t="s">
        <v>16</v>
      </c>
      <c r="D322" s="1" t="s">
        <v>914</v>
      </c>
      <c r="E322" s="1" t="s">
        <v>692</v>
      </c>
      <c r="F322" s="1" t="s">
        <v>915</v>
      </c>
      <c r="G322" s="1" t="s">
        <v>147</v>
      </c>
      <c r="H322" s="1" t="s">
        <v>506</v>
      </c>
      <c r="I322" s="1" t="s">
        <v>916</v>
      </c>
      <c r="J322" s="1"/>
      <c r="K322" s="1"/>
      <c r="L322" s="2">
        <f t="shared" si="32"/>
        <v>46200</v>
      </c>
      <c r="M322" s="1" t="str">
        <f t="shared" ca="1" si="33"/>
        <v>CERRADO</v>
      </c>
      <c r="N322" s="1"/>
    </row>
    <row r="323" spans="1:14">
      <c r="A323" s="1">
        <v>320</v>
      </c>
      <c r="B323" s="2">
        <v>46195</v>
      </c>
      <c r="C323" s="1" t="s">
        <v>16</v>
      </c>
      <c r="D323" s="1" t="s">
        <v>904</v>
      </c>
      <c r="E323" s="1" t="s">
        <v>917</v>
      </c>
      <c r="F323" s="1" t="s">
        <v>678</v>
      </c>
      <c r="G323" s="1" t="s">
        <v>162</v>
      </c>
      <c r="H323" s="1" t="s">
        <v>621</v>
      </c>
      <c r="I323" s="1" t="s">
        <v>918</v>
      </c>
      <c r="J323" s="1"/>
      <c r="K323" s="1"/>
      <c r="L323" s="2">
        <f t="shared" si="32"/>
        <v>46200</v>
      </c>
      <c r="M323" s="1" t="str">
        <f t="shared" ca="1" si="33"/>
        <v>CERRADO</v>
      </c>
      <c r="N323" s="1"/>
    </row>
    <row r="324" spans="1:14">
      <c r="A324" s="1">
        <v>321</v>
      </c>
      <c r="B324" s="2">
        <v>46195</v>
      </c>
      <c r="C324" s="1" t="s">
        <v>16</v>
      </c>
      <c r="D324" s="1" t="s">
        <v>919</v>
      </c>
      <c r="E324" s="1" t="s">
        <v>30</v>
      </c>
      <c r="F324" s="1" t="s">
        <v>920</v>
      </c>
      <c r="G324" s="1" t="s">
        <v>30</v>
      </c>
      <c r="H324" s="1" t="s">
        <v>31</v>
      </c>
      <c r="I324" s="1" t="s">
        <v>921</v>
      </c>
      <c r="J324" s="1"/>
      <c r="K324" s="1"/>
      <c r="L324" s="2">
        <f t="shared" si="32"/>
        <v>46200</v>
      </c>
      <c r="M324" s="1" t="str">
        <f t="shared" ca="1" si="33"/>
        <v>CERRADO</v>
      </c>
      <c r="N324" s="1"/>
    </row>
    <row r="325" spans="1:14">
      <c r="A325" s="1">
        <v>322</v>
      </c>
      <c r="B325" s="2">
        <v>46195</v>
      </c>
      <c r="C325" s="1" t="s">
        <v>16</v>
      </c>
      <c r="D325" s="1" t="s">
        <v>922</v>
      </c>
      <c r="E325" s="1" t="s">
        <v>30</v>
      </c>
      <c r="F325" s="1" t="s">
        <v>788</v>
      </c>
      <c r="G325" s="1" t="s">
        <v>30</v>
      </c>
      <c r="H325" s="1" t="s">
        <v>31</v>
      </c>
      <c r="I325" s="1" t="s">
        <v>923</v>
      </c>
      <c r="J325" s="1"/>
      <c r="K325" s="1"/>
      <c r="L325" s="2">
        <f t="shared" si="32"/>
        <v>46200</v>
      </c>
      <c r="M325" s="1" t="str">
        <f t="shared" ca="1" si="33"/>
        <v>CERRADO</v>
      </c>
      <c r="N325" s="1"/>
    </row>
    <row r="326" spans="1:14">
      <c r="A326" s="1">
        <v>323</v>
      </c>
      <c r="B326" s="2">
        <v>46196</v>
      </c>
      <c r="C326" s="1" t="s">
        <v>16</v>
      </c>
      <c r="D326" s="1" t="s">
        <v>924</v>
      </c>
      <c r="E326" s="1" t="s">
        <v>182</v>
      </c>
      <c r="F326" s="1" t="s">
        <v>920</v>
      </c>
      <c r="G326" s="1" t="s">
        <v>147</v>
      </c>
      <c r="H326" s="1" t="s">
        <v>925</v>
      </c>
      <c r="I326" s="1" t="s">
        <v>926</v>
      </c>
      <c r="J326" s="1"/>
      <c r="K326" s="1"/>
      <c r="L326" s="2">
        <f t="shared" si="32"/>
        <v>46201</v>
      </c>
      <c r="M326" s="1" t="str">
        <f t="shared" ca="1" si="33"/>
        <v>CERRADO</v>
      </c>
      <c r="N326" s="1"/>
    </row>
    <row r="327" spans="1:14">
      <c r="A327" s="1">
        <v>324</v>
      </c>
      <c r="B327" s="2">
        <v>46197</v>
      </c>
      <c r="C327" s="1" t="s">
        <v>16</v>
      </c>
      <c r="D327" s="1" t="s">
        <v>927</v>
      </c>
      <c r="E327" s="1" t="s">
        <v>247</v>
      </c>
      <c r="F327" s="1" t="s">
        <v>928</v>
      </c>
      <c r="G327" s="1" t="s">
        <v>121</v>
      </c>
      <c r="H327" s="1" t="s">
        <v>896</v>
      </c>
      <c r="I327" s="1" t="s">
        <v>929</v>
      </c>
      <c r="J327" s="1"/>
      <c r="K327" s="1"/>
      <c r="L327" s="2">
        <f t="shared" si="32"/>
        <v>46202</v>
      </c>
      <c r="M327" s="1" t="str">
        <f t="shared" ca="1" si="33"/>
        <v>CERRADO</v>
      </c>
      <c r="N327" s="1"/>
    </row>
    <row r="328" spans="1:14">
      <c r="A328" s="1">
        <v>325</v>
      </c>
      <c r="B328" s="2">
        <v>46197</v>
      </c>
      <c r="C328" s="1" t="s">
        <v>16</v>
      </c>
      <c r="D328" s="1" t="s">
        <v>930</v>
      </c>
      <c r="E328" s="1" t="s">
        <v>247</v>
      </c>
      <c r="F328" s="1" t="s">
        <v>788</v>
      </c>
      <c r="G328" s="1" t="s">
        <v>121</v>
      </c>
      <c r="H328" s="1" t="s">
        <v>896</v>
      </c>
      <c r="I328" s="1" t="s">
        <v>931</v>
      </c>
      <c r="J328" s="1"/>
      <c r="K328" s="1"/>
      <c r="L328" s="2">
        <f t="shared" si="32"/>
        <v>46202</v>
      </c>
      <c r="M328" s="1" t="str">
        <f t="shared" ca="1" si="33"/>
        <v>CERRADO</v>
      </c>
      <c r="N328" s="1"/>
    </row>
    <row r="329" spans="1:14" ht="17.25" customHeight="1">
      <c r="A329" s="37">
        <v>326</v>
      </c>
      <c r="B329" s="38">
        <v>46199</v>
      </c>
      <c r="C329" s="37" t="s">
        <v>16</v>
      </c>
      <c r="D329" s="37" t="s">
        <v>932</v>
      </c>
      <c r="E329" s="37" t="s">
        <v>298</v>
      </c>
      <c r="F329" s="37" t="s">
        <v>933</v>
      </c>
      <c r="G329" s="37" t="s">
        <v>147</v>
      </c>
      <c r="H329" s="37" t="s">
        <v>506</v>
      </c>
      <c r="I329" s="37" t="s">
        <v>934</v>
      </c>
      <c r="J329" s="37"/>
      <c r="K329" s="38"/>
      <c r="L329" s="38"/>
      <c r="M329" s="40" t="str">
        <f t="shared" ref="M329:M330" ca="1" si="34">IF(L329&lt;&gt;"","CERRADO",IF(K329&gt;TODAY(),"EN PROCESO",IF(L329="","ABIERTO")))</f>
        <v>ABIERTO</v>
      </c>
      <c r="N329" s="37"/>
    </row>
    <row r="330" spans="1:14" ht="21.75" customHeight="1">
      <c r="A330" s="37">
        <v>327</v>
      </c>
      <c r="B330" s="38">
        <v>46197</v>
      </c>
      <c r="C330" s="37" t="s">
        <v>16</v>
      </c>
      <c r="D330" s="37" t="s">
        <v>935</v>
      </c>
      <c r="E330" s="37" t="s">
        <v>298</v>
      </c>
      <c r="F330" s="37" t="s">
        <v>933</v>
      </c>
      <c r="G330" s="37" t="s">
        <v>147</v>
      </c>
      <c r="H330" s="37" t="s">
        <v>506</v>
      </c>
      <c r="I330" s="37" t="s">
        <v>936</v>
      </c>
      <c r="J330" s="37"/>
      <c r="K330" s="38"/>
      <c r="L330" s="38"/>
      <c r="M330" s="40" t="str">
        <f t="shared" ca="1" si="34"/>
        <v>ABIERTO</v>
      </c>
      <c r="N330" s="37"/>
    </row>
    <row r="331" spans="1:14">
      <c r="A331" s="1">
        <v>328</v>
      </c>
      <c r="B331" s="2">
        <v>46197</v>
      </c>
      <c r="C331" s="1" t="s">
        <v>16</v>
      </c>
      <c r="D331" s="1" t="s">
        <v>937</v>
      </c>
      <c r="E331" s="1" t="s">
        <v>298</v>
      </c>
      <c r="F331" s="1" t="s">
        <v>788</v>
      </c>
      <c r="G331" s="1" t="s">
        <v>147</v>
      </c>
      <c r="H331" s="1" t="s">
        <v>896</v>
      </c>
      <c r="I331" s="1"/>
      <c r="J331" s="1"/>
      <c r="K331" s="1"/>
      <c r="L331" s="2">
        <f t="shared" ref="L331:L336" si="35">B331+5</f>
        <v>46202</v>
      </c>
      <c r="M331" s="1" t="str">
        <f t="shared" ref="M331:M336" ca="1" si="36">IF(L331&lt;TODAY(),"CERRADO","ABIERTO")</f>
        <v>CERRADO</v>
      </c>
      <c r="N331" s="1" t="s">
        <v>938</v>
      </c>
    </row>
    <row r="332" spans="1:14">
      <c r="A332" s="1">
        <v>329</v>
      </c>
      <c r="B332" s="2">
        <v>46197</v>
      </c>
      <c r="C332" s="1" t="s">
        <v>49</v>
      </c>
      <c r="D332" s="1" t="s">
        <v>914</v>
      </c>
      <c r="E332" s="1" t="s">
        <v>42</v>
      </c>
      <c r="F332" s="1" t="s">
        <v>788</v>
      </c>
      <c r="G332" s="1" t="s">
        <v>152</v>
      </c>
      <c r="H332" s="1" t="s">
        <v>153</v>
      </c>
      <c r="I332" s="1" t="s">
        <v>939</v>
      </c>
      <c r="J332" s="1"/>
      <c r="K332" s="1"/>
      <c r="L332" s="2">
        <f t="shared" si="35"/>
        <v>46202</v>
      </c>
      <c r="M332" s="1" t="str">
        <f t="shared" ca="1" si="36"/>
        <v>CERRADO</v>
      </c>
      <c r="N332" s="1"/>
    </row>
    <row r="333" spans="1:14">
      <c r="A333" s="1">
        <v>330</v>
      </c>
      <c r="B333" s="2">
        <v>46198</v>
      </c>
      <c r="C333" s="1" t="s">
        <v>16</v>
      </c>
      <c r="D333" s="1" t="s">
        <v>940</v>
      </c>
      <c r="E333" s="1" t="s">
        <v>908</v>
      </c>
      <c r="F333" s="1" t="s">
        <v>941</v>
      </c>
      <c r="G333" s="1" t="s">
        <v>121</v>
      </c>
      <c r="H333" s="1" t="s">
        <v>502</v>
      </c>
      <c r="I333" s="1" t="s">
        <v>942</v>
      </c>
      <c r="J333" s="1"/>
      <c r="K333" s="1"/>
      <c r="L333" s="2">
        <f t="shared" si="35"/>
        <v>46203</v>
      </c>
      <c r="M333" s="1" t="str">
        <f t="shared" ca="1" si="36"/>
        <v>CERRADO</v>
      </c>
      <c r="N333" s="1"/>
    </row>
    <row r="334" spans="1:14">
      <c r="A334" s="1">
        <v>331</v>
      </c>
      <c r="B334" s="2">
        <v>46199</v>
      </c>
      <c r="C334" s="1" t="s">
        <v>16</v>
      </c>
      <c r="D334" s="1" t="s">
        <v>943</v>
      </c>
      <c r="E334" s="1" t="s">
        <v>944</v>
      </c>
      <c r="F334" s="1" t="s">
        <v>945</v>
      </c>
      <c r="G334" s="1" t="s">
        <v>147</v>
      </c>
      <c r="H334" s="1" t="s">
        <v>506</v>
      </c>
      <c r="I334" s="1" t="s">
        <v>946</v>
      </c>
      <c r="J334" s="1"/>
      <c r="K334" s="1"/>
      <c r="L334" s="2">
        <f t="shared" si="35"/>
        <v>46204</v>
      </c>
      <c r="M334" s="1" t="str">
        <f t="shared" ca="1" si="36"/>
        <v>CERRADO</v>
      </c>
      <c r="N334" s="1"/>
    </row>
    <row r="335" spans="1:14">
      <c r="A335" s="1">
        <v>332</v>
      </c>
      <c r="B335" s="2">
        <v>46199</v>
      </c>
      <c r="C335" s="1" t="s">
        <v>16</v>
      </c>
      <c r="D335" s="1" t="s">
        <v>947</v>
      </c>
      <c r="E335" s="1" t="s">
        <v>30</v>
      </c>
      <c r="F335" s="1" t="s">
        <v>667</v>
      </c>
      <c r="G335" s="1" t="s">
        <v>30</v>
      </c>
      <c r="H335" s="1" t="s">
        <v>31</v>
      </c>
      <c r="I335" s="1" t="s">
        <v>948</v>
      </c>
      <c r="J335" s="1"/>
      <c r="K335" s="1"/>
      <c r="L335" s="2">
        <f t="shared" si="35"/>
        <v>46204</v>
      </c>
      <c r="M335" s="1" t="str">
        <f t="shared" ca="1" si="36"/>
        <v>CERRADO</v>
      </c>
      <c r="N335" s="1"/>
    </row>
    <row r="336" spans="1:14" ht="18" customHeight="1">
      <c r="A336" s="1">
        <v>333</v>
      </c>
      <c r="B336" s="2">
        <v>46199</v>
      </c>
      <c r="C336" s="1" t="s">
        <v>16</v>
      </c>
      <c r="D336" s="1" t="s">
        <v>949</v>
      </c>
      <c r="E336" s="1" t="s">
        <v>816</v>
      </c>
      <c r="F336" s="1" t="s">
        <v>792</v>
      </c>
      <c r="G336" s="1" t="s">
        <v>121</v>
      </c>
      <c r="H336" s="1" t="s">
        <v>793</v>
      </c>
      <c r="I336" s="1" t="s">
        <v>950</v>
      </c>
      <c r="J336" s="1"/>
      <c r="K336" s="1"/>
      <c r="L336" s="2">
        <f t="shared" si="35"/>
        <v>46204</v>
      </c>
      <c r="M336" s="1" t="str">
        <f t="shared" ca="1" si="36"/>
        <v>CERRADO</v>
      </c>
      <c r="N336" s="1"/>
    </row>
    <row r="337" spans="1:14" ht="15.75" customHeight="1">
      <c r="A337" s="37">
        <v>334</v>
      </c>
      <c r="B337" s="38">
        <v>46199</v>
      </c>
      <c r="C337" s="37" t="s">
        <v>49</v>
      </c>
      <c r="D337" s="37" t="s">
        <v>951</v>
      </c>
      <c r="E337" s="37" t="s">
        <v>121</v>
      </c>
      <c r="F337" s="37" t="s">
        <v>788</v>
      </c>
      <c r="G337" s="37" t="s">
        <v>121</v>
      </c>
      <c r="H337" s="37" t="s">
        <v>94</v>
      </c>
      <c r="I337" s="37" t="s">
        <v>952</v>
      </c>
      <c r="J337" s="37"/>
      <c r="K337" s="38"/>
      <c r="L337" s="38"/>
      <c r="M337" s="40" t="str">
        <f t="shared" ref="M337:M339" ca="1" si="37">IF(L337&lt;&gt;"","CERRADO",IF(K337&gt;TODAY(),"EN PROCESO",IF(L337="","ABIERTO")))</f>
        <v>ABIERTO</v>
      </c>
      <c r="N337" s="37"/>
    </row>
    <row r="338" spans="1:14" ht="18.75" customHeight="1">
      <c r="A338" s="37">
        <v>335</v>
      </c>
      <c r="B338" s="38">
        <v>46199</v>
      </c>
      <c r="C338" s="37" t="s">
        <v>16</v>
      </c>
      <c r="D338" s="37" t="s">
        <v>953</v>
      </c>
      <c r="E338" s="37" t="s">
        <v>689</v>
      </c>
      <c r="F338" s="37" t="s">
        <v>954</v>
      </c>
      <c r="G338" s="37" t="s">
        <v>121</v>
      </c>
      <c r="H338" s="37" t="s">
        <v>955</v>
      </c>
      <c r="I338" s="37" t="s">
        <v>815</v>
      </c>
      <c r="J338" s="37"/>
      <c r="K338" s="38"/>
      <c r="L338" s="38"/>
      <c r="M338" s="40" t="str">
        <f t="shared" ca="1" si="37"/>
        <v>ABIERTO</v>
      </c>
      <c r="N338" s="37"/>
    </row>
    <row r="339" spans="1:14" ht="12" customHeight="1">
      <c r="A339" s="37">
        <v>336</v>
      </c>
      <c r="B339" s="38">
        <v>46199</v>
      </c>
      <c r="C339" s="37" t="s">
        <v>16</v>
      </c>
      <c r="D339" s="37" t="s">
        <v>956</v>
      </c>
      <c r="E339" s="37" t="s">
        <v>813</v>
      </c>
      <c r="F339" s="37" t="s">
        <v>667</v>
      </c>
      <c r="G339" s="37" t="s">
        <v>30</v>
      </c>
      <c r="H339" s="37" t="s">
        <v>307</v>
      </c>
      <c r="I339" s="37" t="s">
        <v>957</v>
      </c>
      <c r="J339" s="37"/>
      <c r="K339" s="38"/>
      <c r="L339" s="38"/>
      <c r="M339" s="40" t="str">
        <f t="shared" ca="1" si="37"/>
        <v>ABIERTO</v>
      </c>
      <c r="N339" s="37"/>
    </row>
    <row r="340" spans="1:14">
      <c r="A340" s="1">
        <v>337</v>
      </c>
      <c r="B340" s="2">
        <v>46203</v>
      </c>
      <c r="C340" s="1" t="s">
        <v>16</v>
      </c>
      <c r="D340" s="1" t="s">
        <v>958</v>
      </c>
      <c r="E340" s="1" t="s">
        <v>147</v>
      </c>
      <c r="F340" s="1" t="s">
        <v>730</v>
      </c>
      <c r="G340" s="1" t="s">
        <v>147</v>
      </c>
      <c r="H340" s="1" t="s">
        <v>506</v>
      </c>
      <c r="I340" s="1" t="s">
        <v>959</v>
      </c>
      <c r="J340" s="1"/>
      <c r="K340" s="1"/>
      <c r="L340" s="2">
        <f t="shared" ref="L340:L341" si="38">B340+5</f>
        <v>46208</v>
      </c>
      <c r="M340" s="1" t="str">
        <f t="shared" ref="M340:M341" ca="1" si="39">IF(L340&lt;TODAY(),"CERRADO","ABIERTO")</f>
        <v>CERRADO</v>
      </c>
      <c r="N340" s="1"/>
    </row>
    <row r="341" spans="1:14" ht="10.5" customHeight="1">
      <c r="A341" s="1">
        <v>338</v>
      </c>
      <c r="B341" s="2">
        <v>46192</v>
      </c>
      <c r="C341" s="1" t="s">
        <v>960</v>
      </c>
      <c r="D341" s="1" t="s">
        <v>961</v>
      </c>
      <c r="E341" s="1" t="s">
        <v>247</v>
      </c>
      <c r="F341" s="1" t="s">
        <v>129</v>
      </c>
      <c r="G341" s="1" t="s">
        <v>121</v>
      </c>
      <c r="H341" s="1" t="s">
        <v>502</v>
      </c>
      <c r="I341" s="1" t="s">
        <v>962</v>
      </c>
      <c r="J341" s="1"/>
      <c r="K341" s="1"/>
      <c r="L341" s="2">
        <f t="shared" si="38"/>
        <v>46197</v>
      </c>
      <c r="M341" s="1" t="str">
        <f t="shared" ca="1" si="39"/>
        <v>CERRADO</v>
      </c>
      <c r="N341" s="1"/>
    </row>
    <row r="342" spans="1:14" ht="15.75" customHeight="1">
      <c r="A342" s="37">
        <v>339</v>
      </c>
      <c r="B342" s="38">
        <v>46199</v>
      </c>
      <c r="C342" s="37" t="s">
        <v>16</v>
      </c>
      <c r="D342" s="37" t="s">
        <v>963</v>
      </c>
      <c r="E342" s="37" t="s">
        <v>30</v>
      </c>
      <c r="F342" s="37" t="s">
        <v>964</v>
      </c>
      <c r="G342" s="37" t="s">
        <v>30</v>
      </c>
      <c r="H342" s="37" t="s">
        <v>793</v>
      </c>
      <c r="I342" s="37" t="s">
        <v>965</v>
      </c>
      <c r="J342" s="37"/>
      <c r="K342" s="38"/>
      <c r="L342" s="38"/>
      <c r="M342" s="40" t="str">
        <f t="shared" ref="M342:M344" ca="1" si="40">IF(L342&lt;&gt;"","CERRADO",IF(K342&gt;TODAY(),"EN PROCESO",IF(L342="","ABIERTO")))</f>
        <v>ABIERTO</v>
      </c>
      <c r="N342" s="37" t="s">
        <v>938</v>
      </c>
    </row>
    <row r="343" spans="1:14" ht="18" customHeight="1">
      <c r="A343" s="37">
        <v>340</v>
      </c>
      <c r="B343" s="38">
        <v>46203</v>
      </c>
      <c r="C343" s="37" t="s">
        <v>16</v>
      </c>
      <c r="D343" s="37" t="s">
        <v>966</v>
      </c>
      <c r="E343" s="37" t="s">
        <v>525</v>
      </c>
      <c r="F343" s="37" t="s">
        <v>964</v>
      </c>
      <c r="G343" s="37" t="s">
        <v>88</v>
      </c>
      <c r="H343" s="37" t="s">
        <v>793</v>
      </c>
      <c r="I343" s="37" t="s">
        <v>967</v>
      </c>
      <c r="J343" s="37"/>
      <c r="K343" s="38"/>
      <c r="L343" s="38"/>
      <c r="M343" s="40" t="str">
        <f t="shared" ca="1" si="40"/>
        <v>ABIERTO</v>
      </c>
      <c r="N343" s="37" t="s">
        <v>938</v>
      </c>
    </row>
    <row r="344" spans="1:14" ht="15.75" customHeight="1">
      <c r="A344" s="37">
        <v>341</v>
      </c>
      <c r="B344" s="38">
        <v>46199</v>
      </c>
      <c r="C344" s="37" t="s">
        <v>16</v>
      </c>
      <c r="D344" s="37" t="s">
        <v>963</v>
      </c>
      <c r="E344" s="37" t="s">
        <v>152</v>
      </c>
      <c r="F344" s="37" t="s">
        <v>964</v>
      </c>
      <c r="G344" s="37" t="s">
        <v>152</v>
      </c>
      <c r="H344" s="37" t="s">
        <v>793</v>
      </c>
      <c r="I344" s="37" t="s">
        <v>965</v>
      </c>
      <c r="J344" s="37"/>
      <c r="K344" s="38"/>
      <c r="L344" s="38"/>
      <c r="M344" s="40" t="str">
        <f t="shared" ca="1" si="40"/>
        <v>ABIERTO</v>
      </c>
      <c r="N344" s="37" t="s">
        <v>968</v>
      </c>
    </row>
    <row r="345" spans="1:14">
      <c r="A345" s="1">
        <v>342</v>
      </c>
      <c r="B345" s="2">
        <v>46182</v>
      </c>
      <c r="C345" s="1" t="s">
        <v>16</v>
      </c>
      <c r="D345" s="1" t="s">
        <v>969</v>
      </c>
      <c r="E345" s="1" t="s">
        <v>152</v>
      </c>
      <c r="F345" s="1" t="s">
        <v>730</v>
      </c>
      <c r="G345" s="1" t="s">
        <v>152</v>
      </c>
      <c r="H345" s="1" t="s">
        <v>153</v>
      </c>
      <c r="I345" s="1" t="s">
        <v>970</v>
      </c>
      <c r="J345" s="1"/>
      <c r="K345" s="1"/>
      <c r="L345" s="2">
        <f>B345+5</f>
        <v>46187</v>
      </c>
      <c r="M345" s="1" t="str">
        <f t="shared" ref="M345" ca="1" si="41">IF(L345&lt;TODAY(),"CERRADO","ABIERTO")</f>
        <v>CERRADO</v>
      </c>
      <c r="N345" s="1"/>
    </row>
    <row r="346" spans="1:14" ht="16.5" customHeight="1">
      <c r="A346" s="37">
        <v>343</v>
      </c>
      <c r="B346" s="38">
        <v>46189</v>
      </c>
      <c r="C346" s="37" t="s">
        <v>16</v>
      </c>
      <c r="D346" s="37" t="s">
        <v>971</v>
      </c>
      <c r="E346" s="37" t="s">
        <v>972</v>
      </c>
      <c r="F346" s="37" t="s">
        <v>730</v>
      </c>
      <c r="G346" s="37" t="s">
        <v>121</v>
      </c>
      <c r="H346" s="37" t="s">
        <v>502</v>
      </c>
      <c r="I346" s="37" t="s">
        <v>973</v>
      </c>
      <c r="J346" s="37"/>
      <c r="K346" s="38"/>
      <c r="L346" s="38"/>
      <c r="M346" s="40" t="str">
        <f ca="1">IF(L346&lt;&gt;"","CERRADO",IF(K346&gt;TODAY(),"EN PROCESO",IF(L346="","ABIERTO")))</f>
        <v>ABIERTO</v>
      </c>
      <c r="N346" s="37" t="s">
        <v>968</v>
      </c>
    </row>
    <row r="347" spans="1:14">
      <c r="A347" s="1">
        <v>344</v>
      </c>
      <c r="B347" s="7">
        <v>46196</v>
      </c>
      <c r="C347" s="8" t="s">
        <v>960</v>
      </c>
      <c r="D347" s="8" t="s">
        <v>974</v>
      </c>
      <c r="E347" s="8" t="s">
        <v>525</v>
      </c>
      <c r="F347" s="8" t="s">
        <v>730</v>
      </c>
      <c r="G347" s="8" t="s">
        <v>88</v>
      </c>
      <c r="H347" s="8" t="s">
        <v>329</v>
      </c>
      <c r="I347" s="8" t="s">
        <v>975</v>
      </c>
      <c r="J347" s="8"/>
      <c r="K347" s="8"/>
      <c r="L347" s="2">
        <f t="shared" ref="L347:L348" si="42">B347+5</f>
        <v>46201</v>
      </c>
      <c r="M347" s="1" t="str">
        <f t="shared" ref="M347:M348" ca="1" si="43">IF(L347&lt;TODAY(),"CERRADO","ABIERTO")</f>
        <v>CERRADO</v>
      </c>
      <c r="N347" s="8"/>
    </row>
    <row r="348" spans="1:14" ht="28.8">
      <c r="A348" s="6">
        <v>345</v>
      </c>
      <c r="B348" s="9">
        <v>46226</v>
      </c>
      <c r="C348" s="10" t="s">
        <v>16</v>
      </c>
      <c r="D348" s="10" t="s">
        <v>976</v>
      </c>
      <c r="E348" s="10" t="s">
        <v>147</v>
      </c>
      <c r="F348" s="10" t="s">
        <v>753</v>
      </c>
      <c r="G348" s="11" t="s">
        <v>977</v>
      </c>
      <c r="H348" s="11" t="s">
        <v>978</v>
      </c>
      <c r="I348" s="68" t="s">
        <v>979</v>
      </c>
      <c r="J348" s="68"/>
      <c r="K348" s="29"/>
      <c r="L348" s="2">
        <f t="shared" si="42"/>
        <v>46231</v>
      </c>
      <c r="M348" s="1" t="str">
        <f t="shared" ca="1" si="43"/>
        <v>CERRADO</v>
      </c>
      <c r="N348" s="10"/>
    </row>
    <row r="349" spans="1:14" ht="13.5" customHeight="1">
      <c r="A349" s="45">
        <v>346</v>
      </c>
      <c r="B349" s="46">
        <v>46226</v>
      </c>
      <c r="C349" s="47" t="s">
        <v>16</v>
      </c>
      <c r="D349" s="48" t="s">
        <v>980</v>
      </c>
      <c r="E349" s="47" t="s">
        <v>981</v>
      </c>
      <c r="F349" s="47" t="s">
        <v>730</v>
      </c>
      <c r="G349" s="47" t="s">
        <v>982</v>
      </c>
      <c r="H349" s="47" t="s">
        <v>31</v>
      </c>
      <c r="I349" s="65" t="s">
        <v>983</v>
      </c>
      <c r="J349" s="65"/>
      <c r="K349" s="38"/>
      <c r="L349" s="38"/>
      <c r="M349" s="40" t="str">
        <f t="shared" ref="M349:M365" ca="1" si="44">IF(L349&lt;&gt;"","CERRADO",IF(K349&gt;TODAY(),"EN PROCESO",IF(L349="","ABIERTO")))</f>
        <v>ABIERTO</v>
      </c>
      <c r="N349" s="47"/>
    </row>
    <row r="350" spans="1:14" ht="15" customHeight="1">
      <c r="A350" s="42">
        <v>347</v>
      </c>
      <c r="B350" s="49">
        <v>46226</v>
      </c>
      <c r="C350" s="42" t="s">
        <v>49</v>
      </c>
      <c r="D350" s="50" t="s">
        <v>984</v>
      </c>
      <c r="E350" s="42" t="s">
        <v>152</v>
      </c>
      <c r="F350" s="42" t="s">
        <v>682</v>
      </c>
      <c r="G350" s="42" t="s">
        <v>985</v>
      </c>
      <c r="H350" s="42" t="s">
        <v>896</v>
      </c>
      <c r="I350" s="63" t="s">
        <v>986</v>
      </c>
      <c r="J350" s="64"/>
      <c r="K350" s="38"/>
      <c r="L350" s="38"/>
      <c r="M350" s="40" t="str">
        <f t="shared" ca="1" si="44"/>
        <v>ABIERTO</v>
      </c>
      <c r="N350" s="42"/>
    </row>
    <row r="351" spans="1:14" ht="16.5" customHeight="1">
      <c r="A351" s="42">
        <v>348</v>
      </c>
      <c r="B351" s="51">
        <v>46226</v>
      </c>
      <c r="C351" s="42" t="s">
        <v>16</v>
      </c>
      <c r="D351" s="50" t="s">
        <v>987</v>
      </c>
      <c r="E351" s="42" t="s">
        <v>756</v>
      </c>
      <c r="F351" s="42" t="s">
        <v>988</v>
      </c>
      <c r="G351" s="42" t="s">
        <v>756</v>
      </c>
      <c r="H351" s="42" t="s">
        <v>31</v>
      </c>
      <c r="I351" s="63" t="s">
        <v>989</v>
      </c>
      <c r="J351" s="64"/>
      <c r="K351" s="38"/>
      <c r="L351" s="38"/>
      <c r="M351" s="40" t="str">
        <f t="shared" ca="1" si="44"/>
        <v>ABIERTO</v>
      </c>
      <c r="N351" s="42"/>
    </row>
    <row r="352" spans="1:14" ht="17.25" customHeight="1">
      <c r="A352" s="42">
        <v>349</v>
      </c>
      <c r="B352" s="51">
        <v>46226</v>
      </c>
      <c r="C352" s="42" t="s">
        <v>49</v>
      </c>
      <c r="D352" s="50" t="s">
        <v>990</v>
      </c>
      <c r="E352" s="42" t="s">
        <v>756</v>
      </c>
      <c r="F352" s="42" t="s">
        <v>991</v>
      </c>
      <c r="G352" s="42" t="s">
        <v>756</v>
      </c>
      <c r="H352" s="42" t="s">
        <v>31</v>
      </c>
      <c r="I352" s="63" t="s">
        <v>989</v>
      </c>
      <c r="J352" s="64"/>
      <c r="K352" s="38"/>
      <c r="L352" s="38"/>
      <c r="M352" s="40" t="str">
        <f t="shared" ca="1" si="44"/>
        <v>ABIERTO</v>
      </c>
      <c r="N352" s="42"/>
    </row>
    <row r="353" spans="1:14" ht="18" customHeight="1">
      <c r="A353" s="47">
        <v>350</v>
      </c>
      <c r="B353" s="46">
        <v>46226</v>
      </c>
      <c r="C353" s="47" t="s">
        <v>16</v>
      </c>
      <c r="D353" s="48" t="s">
        <v>992</v>
      </c>
      <c r="E353" s="47" t="s">
        <v>152</v>
      </c>
      <c r="F353" s="47" t="s">
        <v>730</v>
      </c>
      <c r="G353" s="47" t="s">
        <v>152</v>
      </c>
      <c r="H353" s="47" t="s">
        <v>912</v>
      </c>
      <c r="I353" s="66" t="s">
        <v>993</v>
      </c>
      <c r="J353" s="67"/>
      <c r="K353" s="38"/>
      <c r="L353" s="38"/>
      <c r="M353" s="40" t="str">
        <f t="shared" ca="1" si="44"/>
        <v>ABIERTO</v>
      </c>
      <c r="N353" s="47"/>
    </row>
    <row r="354" spans="1:14" ht="17.25" customHeight="1">
      <c r="A354" s="47">
        <v>351</v>
      </c>
      <c r="B354" s="46">
        <v>46226</v>
      </c>
      <c r="C354" s="47" t="s">
        <v>16</v>
      </c>
      <c r="D354" s="48" t="s">
        <v>994</v>
      </c>
      <c r="E354" s="47" t="s">
        <v>152</v>
      </c>
      <c r="F354" s="47" t="s">
        <v>730</v>
      </c>
      <c r="G354" s="47" t="s">
        <v>152</v>
      </c>
      <c r="H354" s="47" t="s">
        <v>912</v>
      </c>
      <c r="I354" s="66" t="s">
        <v>995</v>
      </c>
      <c r="J354" s="67"/>
      <c r="K354" s="38"/>
      <c r="L354" s="38"/>
      <c r="M354" s="40" t="str">
        <f t="shared" ca="1" si="44"/>
        <v>ABIERTO</v>
      </c>
      <c r="N354" s="47"/>
    </row>
    <row r="355" spans="1:14" ht="22.5" customHeight="1">
      <c r="A355" s="47">
        <v>352</v>
      </c>
      <c r="B355" s="46">
        <v>46226</v>
      </c>
      <c r="C355" s="46" t="s">
        <v>49</v>
      </c>
      <c r="D355" s="48" t="s">
        <v>996</v>
      </c>
      <c r="E355" s="47" t="s">
        <v>121</v>
      </c>
      <c r="F355" s="47" t="s">
        <v>997</v>
      </c>
      <c r="G355" s="47" t="s">
        <v>121</v>
      </c>
      <c r="H355" s="47" t="s">
        <v>502</v>
      </c>
      <c r="I355" s="66" t="s">
        <v>993</v>
      </c>
      <c r="J355" s="67"/>
      <c r="K355" s="38"/>
      <c r="L355" s="38"/>
      <c r="M355" s="40" t="str">
        <f t="shared" ca="1" si="44"/>
        <v>ABIERTO</v>
      </c>
      <c r="N355" s="47"/>
    </row>
    <row r="356" spans="1:14" ht="18.75" customHeight="1">
      <c r="A356" s="47">
        <v>353</v>
      </c>
      <c r="B356" s="46">
        <v>46226</v>
      </c>
      <c r="C356" s="46" t="s">
        <v>49</v>
      </c>
      <c r="D356" s="48" t="s">
        <v>998</v>
      </c>
      <c r="E356" s="47" t="s">
        <v>121</v>
      </c>
      <c r="F356" s="47" t="s">
        <v>954</v>
      </c>
      <c r="G356" s="47" t="s">
        <v>121</v>
      </c>
      <c r="H356" s="47" t="s">
        <v>502</v>
      </c>
      <c r="I356" s="66" t="s">
        <v>999</v>
      </c>
      <c r="J356" s="67"/>
      <c r="K356" s="38"/>
      <c r="L356" s="38"/>
      <c r="M356" s="40" t="str">
        <f t="shared" ca="1" si="44"/>
        <v>ABIERTO</v>
      </c>
      <c r="N356" s="47"/>
    </row>
    <row r="357" spans="1:14" ht="19.5" customHeight="1">
      <c r="A357" s="42">
        <v>354</v>
      </c>
      <c r="B357" s="51">
        <v>46226</v>
      </c>
      <c r="C357" s="51" t="s">
        <v>49</v>
      </c>
      <c r="D357" s="52" t="s">
        <v>1000</v>
      </c>
      <c r="E357" s="42" t="s">
        <v>121</v>
      </c>
      <c r="F357" s="42" t="s">
        <v>954</v>
      </c>
      <c r="G357" s="42" t="s">
        <v>121</v>
      </c>
      <c r="H357" s="42" t="s">
        <v>502</v>
      </c>
      <c r="I357" s="63" t="s">
        <v>1001</v>
      </c>
      <c r="J357" s="64"/>
      <c r="K357" s="38"/>
      <c r="L357" s="38"/>
      <c r="M357" s="40" t="str">
        <f t="shared" ca="1" si="44"/>
        <v>ABIERTO</v>
      </c>
      <c r="N357" s="42"/>
    </row>
    <row r="358" spans="1:14" ht="27" customHeight="1">
      <c r="A358" s="47">
        <v>355</v>
      </c>
      <c r="B358" s="46">
        <v>46226</v>
      </c>
      <c r="C358" s="46" t="s">
        <v>49</v>
      </c>
      <c r="D358" s="48" t="s">
        <v>1002</v>
      </c>
      <c r="E358" s="47" t="s">
        <v>776</v>
      </c>
      <c r="F358" s="47" t="s">
        <v>827</v>
      </c>
      <c r="G358" s="47" t="s">
        <v>985</v>
      </c>
      <c r="H358" s="47" t="s">
        <v>912</v>
      </c>
      <c r="I358" s="65" t="s">
        <v>1003</v>
      </c>
      <c r="J358" s="65"/>
      <c r="K358" s="38"/>
      <c r="L358" s="38"/>
      <c r="M358" s="40" t="str">
        <f t="shared" ca="1" si="44"/>
        <v>ABIERTO</v>
      </c>
      <c r="N358" s="47"/>
    </row>
    <row r="359" spans="1:14" ht="23.25" customHeight="1">
      <c r="A359" s="47">
        <v>356</v>
      </c>
      <c r="B359" s="46">
        <v>46226</v>
      </c>
      <c r="C359" s="46" t="s">
        <v>16</v>
      </c>
      <c r="D359" s="48" t="s">
        <v>1004</v>
      </c>
      <c r="E359" s="47" t="s">
        <v>1005</v>
      </c>
      <c r="F359" s="47" t="s">
        <v>1006</v>
      </c>
      <c r="G359" s="47" t="s">
        <v>1007</v>
      </c>
      <c r="H359" s="47" t="s">
        <v>1008</v>
      </c>
      <c r="I359" s="65" t="s">
        <v>1009</v>
      </c>
      <c r="J359" s="65"/>
      <c r="K359" s="38"/>
      <c r="L359" s="38"/>
      <c r="M359" s="40" t="str">
        <f t="shared" ca="1" si="44"/>
        <v>ABIERTO</v>
      </c>
      <c r="N359" s="47"/>
    </row>
    <row r="360" spans="1:14" ht="19.5" customHeight="1">
      <c r="A360" s="42">
        <v>357</v>
      </c>
      <c r="B360" s="51">
        <v>46230</v>
      </c>
      <c r="C360" s="51" t="s">
        <v>16</v>
      </c>
      <c r="D360" s="50" t="s">
        <v>1010</v>
      </c>
      <c r="E360" s="42" t="s">
        <v>1011</v>
      </c>
      <c r="F360" s="42" t="s">
        <v>664</v>
      </c>
      <c r="G360" s="42" t="s">
        <v>1012</v>
      </c>
      <c r="H360" s="42" t="s">
        <v>793</v>
      </c>
      <c r="I360" s="63" t="s">
        <v>1013</v>
      </c>
      <c r="J360" s="64"/>
      <c r="K360" s="38"/>
      <c r="L360" s="38"/>
      <c r="M360" s="40" t="str">
        <f t="shared" ca="1" si="44"/>
        <v>ABIERTO</v>
      </c>
      <c r="N360" s="42"/>
    </row>
    <row r="361" spans="1:14" s="19" customFormat="1" ht="25.5" customHeight="1">
      <c r="A361" s="53">
        <f>A360+1</f>
        <v>358</v>
      </c>
      <c r="B361" s="54">
        <v>46230</v>
      </c>
      <c r="C361" s="55" t="s">
        <v>16</v>
      </c>
      <c r="D361" s="56" t="s">
        <v>1014</v>
      </c>
      <c r="E361" s="47" t="s">
        <v>147</v>
      </c>
      <c r="F361" s="53" t="s">
        <v>954</v>
      </c>
      <c r="G361" s="47" t="str">
        <f>VLOOKUP(E361,Listas!$E$2:$H$45,2,0)</f>
        <v>Paneles</v>
      </c>
      <c r="H361" s="47" t="str">
        <f>VLOOKUP(E361,Listas!$E$2:$G$45,3,0)</f>
        <v>Daniel Espinoza</v>
      </c>
      <c r="I361" s="53" t="s">
        <v>1015</v>
      </c>
      <c r="J361" s="53"/>
      <c r="K361" s="38"/>
      <c r="L361" s="38"/>
      <c r="M361" s="40" t="str">
        <f t="shared" ca="1" si="44"/>
        <v>ABIERTO</v>
      </c>
      <c r="N361" s="53"/>
    </row>
    <row r="362" spans="1:14" ht="27" customHeight="1">
      <c r="A362" s="47">
        <f t="shared" ref="A362:A418" si="45">A361+1</f>
        <v>359</v>
      </c>
      <c r="B362" s="46">
        <v>46230</v>
      </c>
      <c r="C362" s="37" t="s">
        <v>16</v>
      </c>
      <c r="D362" s="48" t="s">
        <v>1016</v>
      </c>
      <c r="E362" s="47" t="s">
        <v>121</v>
      </c>
      <c r="F362" s="47" t="s">
        <v>121</v>
      </c>
      <c r="G362" s="47" t="str">
        <f>VLOOKUP(E362,Listas!$E$2:$H$45,2,0)</f>
        <v>Soldadura</v>
      </c>
      <c r="H362" s="47" t="str">
        <f>VLOOKUP(E362,Listas!$E$2:$G$45,3,0)</f>
        <v>Brian Sarzosa</v>
      </c>
      <c r="I362" s="47" t="s">
        <v>1017</v>
      </c>
      <c r="J362" s="47"/>
      <c r="K362" s="38"/>
      <c r="L362" s="38"/>
      <c r="M362" s="40" t="str">
        <f t="shared" ca="1" si="44"/>
        <v>ABIERTO</v>
      </c>
      <c r="N362" s="47"/>
    </row>
    <row r="363" spans="1:14" ht="21.75" customHeight="1">
      <c r="A363" s="47">
        <f t="shared" si="45"/>
        <v>360</v>
      </c>
      <c r="B363" s="46">
        <v>46230</v>
      </c>
      <c r="C363" s="37" t="s">
        <v>16</v>
      </c>
      <c r="D363" s="48" t="s">
        <v>1018</v>
      </c>
      <c r="E363" s="47" t="s">
        <v>1019</v>
      </c>
      <c r="F363" s="47" t="s">
        <v>1020</v>
      </c>
      <c r="G363" s="47" t="str">
        <f>VLOOKUP(E363,Listas!$E$2:$H$45,2,0)</f>
        <v>Viales</v>
      </c>
      <c r="H363" s="47" t="str">
        <f>VLOOKUP(E363,Listas!$E$2:$G$45,3,0)</f>
        <v>Mario Guaman</v>
      </c>
      <c r="I363" s="47" t="s">
        <v>1021</v>
      </c>
      <c r="J363" s="47"/>
      <c r="K363" s="38"/>
      <c r="L363" s="38"/>
      <c r="M363" s="40" t="str">
        <f t="shared" ca="1" si="44"/>
        <v>ABIERTO</v>
      </c>
      <c r="N363" s="47"/>
    </row>
    <row r="364" spans="1:14" ht="24.75" customHeight="1">
      <c r="A364" s="47">
        <f t="shared" si="45"/>
        <v>361</v>
      </c>
      <c r="B364" s="46">
        <v>46230</v>
      </c>
      <c r="C364" s="37" t="s">
        <v>16</v>
      </c>
      <c r="D364" s="48" t="s">
        <v>1022</v>
      </c>
      <c r="E364" s="47" t="s">
        <v>147</v>
      </c>
      <c r="F364" s="47" t="s">
        <v>1023</v>
      </c>
      <c r="G364" s="47" t="str">
        <f>VLOOKUP(E364,Listas!$E$2:$H$45,2,0)</f>
        <v>Paneles</v>
      </c>
      <c r="H364" s="47" t="str">
        <f>VLOOKUP(E364,Listas!$E$2:$G$45,3,0)</f>
        <v>Daniel Espinoza</v>
      </c>
      <c r="I364" s="47"/>
      <c r="J364" s="47"/>
      <c r="K364" s="38"/>
      <c r="L364" s="38"/>
      <c r="M364" s="40" t="str">
        <f t="shared" ca="1" si="44"/>
        <v>ABIERTO</v>
      </c>
      <c r="N364" s="47"/>
    </row>
    <row r="365" spans="1:14" ht="21.75" customHeight="1">
      <c r="A365" s="47">
        <f t="shared" si="45"/>
        <v>362</v>
      </c>
      <c r="B365" s="46">
        <v>46231</v>
      </c>
      <c r="C365" s="37" t="s">
        <v>16</v>
      </c>
      <c r="D365" s="48" t="s">
        <v>1024</v>
      </c>
      <c r="E365" s="47" t="s">
        <v>88</v>
      </c>
      <c r="F365" s="47" t="s">
        <v>1025</v>
      </c>
      <c r="G365" s="47" t="str">
        <f>VLOOKUP(E365,Listas!$E$2:$H$45,2,0)</f>
        <v>Logística</v>
      </c>
      <c r="H365" s="47" t="str">
        <f>VLOOKUP(E365,Listas!$E$2:$G$45,3,0)</f>
        <v>Alejandro Pesantez</v>
      </c>
      <c r="I365" s="47" t="s">
        <v>1026</v>
      </c>
      <c r="J365" s="47"/>
      <c r="K365" s="38"/>
      <c r="L365" s="38"/>
      <c r="M365" s="40" t="str">
        <f t="shared" ca="1" si="44"/>
        <v>ABIERTO</v>
      </c>
      <c r="N365" s="47"/>
    </row>
    <row r="366" spans="1:14" s="24" customFormat="1">
      <c r="A366" s="20">
        <f t="shared" si="45"/>
        <v>363</v>
      </c>
      <c r="B366" s="21">
        <v>46205</v>
      </c>
      <c r="C366" s="22" t="s">
        <v>16</v>
      </c>
      <c r="D366" s="23" t="s">
        <v>1027</v>
      </c>
      <c r="E366" s="20" t="s">
        <v>147</v>
      </c>
      <c r="F366" s="20" t="s">
        <v>1028</v>
      </c>
      <c r="G366" s="5" t="str">
        <f>VLOOKUP(E366,Listas!$E$2:$H$45,2,0)</f>
        <v>Paneles</v>
      </c>
      <c r="H366" s="5" t="str">
        <f>VLOOKUP(E366,Listas!$E$2:$G$45,3,0)</f>
        <v>Daniel Espinoza</v>
      </c>
      <c r="I366" s="20" t="s">
        <v>1029</v>
      </c>
      <c r="J366" s="20"/>
      <c r="L366" s="2">
        <f>B366+5</f>
        <v>46210</v>
      </c>
      <c r="M366" s="1" t="str">
        <f t="shared" ref="M366" ca="1" si="46">IF(L366&lt;TODAY(),"CERRADO","ABIERTO")</f>
        <v>CERRADO</v>
      </c>
      <c r="N366" s="20"/>
    </row>
    <row r="367" spans="1:14" ht="12.75" customHeight="1">
      <c r="A367" s="47">
        <f t="shared" si="45"/>
        <v>364</v>
      </c>
      <c r="B367" s="46">
        <v>46205</v>
      </c>
      <c r="C367" s="37" t="s">
        <v>16</v>
      </c>
      <c r="D367" s="48" t="s">
        <v>1030</v>
      </c>
      <c r="E367" s="47" t="s">
        <v>1031</v>
      </c>
      <c r="F367" s="47" t="s">
        <v>1025</v>
      </c>
      <c r="G367" s="42" t="s">
        <v>1012</v>
      </c>
      <c r="H367" s="47" t="str">
        <f>VLOOKUP(E367,Listas!$E$2:$G$45,3,0)</f>
        <v>Edison Lema</v>
      </c>
      <c r="I367" s="47" t="s">
        <v>1032</v>
      </c>
      <c r="J367" s="47"/>
      <c r="K367" s="38"/>
      <c r="L367" s="38"/>
      <c r="M367" s="40" t="str">
        <f t="shared" ref="M367:M369" ca="1" si="47">IF(L367&lt;&gt;"","CERRADO",IF(K367&gt;TODAY(),"EN PROCESO",IF(L367="","ABIERTO")))</f>
        <v>ABIERTO</v>
      </c>
      <c r="N367" s="47"/>
    </row>
    <row r="368" spans="1:14" ht="12" customHeight="1">
      <c r="A368" s="47">
        <f t="shared" si="45"/>
        <v>365</v>
      </c>
      <c r="B368" s="46">
        <v>46205</v>
      </c>
      <c r="C368" s="37" t="s">
        <v>24</v>
      </c>
      <c r="D368" s="48" t="s">
        <v>1033</v>
      </c>
      <c r="E368" s="47" t="s">
        <v>152</v>
      </c>
      <c r="F368" s="47" t="s">
        <v>1034</v>
      </c>
      <c r="G368" s="47" t="str">
        <f>VLOOKUP(E368,Listas!$E$2:$H$45,2,0)</f>
        <v>Viales</v>
      </c>
      <c r="H368" s="47" t="str">
        <f>VLOOKUP(E368,Listas!$E$2:$G$45,3,0)</f>
        <v>Mario Guaman</v>
      </c>
      <c r="I368" s="47" t="s">
        <v>1035</v>
      </c>
      <c r="J368" s="47"/>
      <c r="K368" s="38"/>
      <c r="L368" s="38"/>
      <c r="M368" s="40" t="str">
        <f t="shared" ca="1" si="47"/>
        <v>ABIERTO</v>
      </c>
      <c r="N368" s="47"/>
    </row>
    <row r="369" spans="1:14" ht="19.5" customHeight="1">
      <c r="A369" s="47">
        <f t="shared" si="45"/>
        <v>366</v>
      </c>
      <c r="B369" s="46">
        <v>46205</v>
      </c>
      <c r="C369" s="37" t="s">
        <v>16</v>
      </c>
      <c r="D369" s="48" t="s">
        <v>1036</v>
      </c>
      <c r="E369" s="47" t="s">
        <v>121</v>
      </c>
      <c r="F369" s="47" t="s">
        <v>1037</v>
      </c>
      <c r="G369" s="47" t="str">
        <f>VLOOKUP(E369,Listas!$E$2:$H$45,2,0)</f>
        <v>Soldadura</v>
      </c>
      <c r="H369" s="47" t="str">
        <f>VLOOKUP(E369,Listas!$E$2:$G$45,3,0)</f>
        <v>Brian Sarzosa</v>
      </c>
      <c r="I369" s="47" t="s">
        <v>1038</v>
      </c>
      <c r="J369" s="47"/>
      <c r="K369" s="38"/>
      <c r="L369" s="38"/>
      <c r="M369" s="40" t="str">
        <f t="shared" ca="1" si="47"/>
        <v>ABIERTO</v>
      </c>
      <c r="N369" s="47"/>
    </row>
    <row r="370" spans="1:14" ht="23.25" customHeight="1">
      <c r="A370" s="5">
        <f t="shared" si="45"/>
        <v>367</v>
      </c>
      <c r="B370" s="4">
        <v>46205</v>
      </c>
      <c r="C370" s="1" t="s">
        <v>16</v>
      </c>
      <c r="D370" s="14" t="s">
        <v>1039</v>
      </c>
      <c r="E370" s="5" t="s">
        <v>121</v>
      </c>
      <c r="F370" s="5" t="s">
        <v>108</v>
      </c>
      <c r="G370" s="5" t="str">
        <f>VLOOKUP(E370,Listas!$E$2:$H$45,2,0)</f>
        <v>Soldadura</v>
      </c>
      <c r="H370" s="5" t="str">
        <f>VLOOKUP(E370,Listas!$E$2:$G$45,3,0)</f>
        <v>Brian Sarzosa</v>
      </c>
      <c r="I370" s="5" t="s">
        <v>1040</v>
      </c>
      <c r="J370" s="5"/>
      <c r="L370" s="2">
        <f>B370+5</f>
        <v>46210</v>
      </c>
      <c r="M370" s="1" t="str">
        <f t="shared" ref="M370" ca="1" si="48">IF(L370&lt;TODAY(),"CERRADO","ABIERTO")</f>
        <v>CERRADO</v>
      </c>
      <c r="N370" s="5"/>
    </row>
    <row r="371" spans="1:14" ht="20.25" customHeight="1">
      <c r="A371" s="47">
        <f t="shared" si="45"/>
        <v>368</v>
      </c>
      <c r="B371" s="46">
        <v>46209</v>
      </c>
      <c r="C371" s="37" t="s">
        <v>16</v>
      </c>
      <c r="D371" s="48" t="s">
        <v>1041</v>
      </c>
      <c r="E371" s="47" t="s">
        <v>30</v>
      </c>
      <c r="F371" s="47" t="s">
        <v>677</v>
      </c>
      <c r="G371" s="47" t="str">
        <f>VLOOKUP(E371,Listas!$E$2:$H$45,2,0)</f>
        <v xml:space="preserve">Sistemas Metálicos </v>
      </c>
      <c r="H371" s="47" t="str">
        <f>VLOOKUP(E371,Listas!$E$2:$G$45,3,0)</f>
        <v>Pablo Velasco</v>
      </c>
      <c r="I371" s="47" t="s">
        <v>1042</v>
      </c>
      <c r="J371" s="47"/>
      <c r="K371" s="38"/>
      <c r="L371" s="38"/>
      <c r="M371" s="40" t="str">
        <f t="shared" ref="M371:M378" ca="1" si="49">IF(L371&lt;&gt;"","CERRADO",IF(K371&gt;TODAY(),"EN PROCESO",IF(L371="","ABIERTO")))</f>
        <v>ABIERTO</v>
      </c>
      <c r="N371" s="47"/>
    </row>
    <row r="372" spans="1:14" ht="18.75" customHeight="1">
      <c r="A372" s="47">
        <f t="shared" si="45"/>
        <v>369</v>
      </c>
      <c r="B372" s="46">
        <v>46209</v>
      </c>
      <c r="C372" s="37" t="s">
        <v>16</v>
      </c>
      <c r="D372" s="48" t="s">
        <v>1043</v>
      </c>
      <c r="E372" s="47" t="s">
        <v>121</v>
      </c>
      <c r="F372" s="47" t="s">
        <v>1044</v>
      </c>
      <c r="G372" s="47" t="str">
        <f>VLOOKUP(E372,Listas!$E$2:$H$45,2,0)</f>
        <v>Soldadura</v>
      </c>
      <c r="H372" s="47" t="str">
        <f>VLOOKUP(E372,Listas!$E$2:$G$45,3,0)</f>
        <v>Brian Sarzosa</v>
      </c>
      <c r="I372" s="47" t="s">
        <v>1045</v>
      </c>
      <c r="J372" s="47"/>
      <c r="K372" s="38"/>
      <c r="L372" s="38"/>
      <c r="M372" s="40" t="str">
        <f t="shared" ca="1" si="49"/>
        <v>ABIERTO</v>
      </c>
      <c r="N372" s="47"/>
    </row>
    <row r="373" spans="1:14" ht="35.25" customHeight="1">
      <c r="A373" s="47">
        <f t="shared" si="45"/>
        <v>370</v>
      </c>
      <c r="B373" s="46">
        <v>46209</v>
      </c>
      <c r="C373" s="37" t="s">
        <v>24</v>
      </c>
      <c r="D373" s="48" t="s">
        <v>1046</v>
      </c>
      <c r="E373" s="47" t="s">
        <v>30</v>
      </c>
      <c r="F373" s="47" t="s">
        <v>129</v>
      </c>
      <c r="G373" s="47" t="str">
        <f>VLOOKUP(E373,Listas!$E$2:$H$45,2,0)</f>
        <v xml:space="preserve">Sistemas Metálicos </v>
      </c>
      <c r="H373" s="47" t="str">
        <f>VLOOKUP(E373,Listas!$E$2:$G$45,3,0)</f>
        <v>Pablo Velasco</v>
      </c>
      <c r="I373" s="47" t="s">
        <v>1047</v>
      </c>
      <c r="J373" s="47"/>
      <c r="K373" s="38"/>
      <c r="L373" s="38"/>
      <c r="M373" s="40" t="str">
        <f t="shared" ca="1" si="49"/>
        <v>ABIERTO</v>
      </c>
      <c r="N373" s="47"/>
    </row>
    <row r="374" spans="1:14" ht="17.25" customHeight="1">
      <c r="A374" s="47">
        <f t="shared" si="45"/>
        <v>371</v>
      </c>
      <c r="B374" s="46">
        <v>46209</v>
      </c>
      <c r="C374" s="37" t="s">
        <v>16</v>
      </c>
      <c r="D374" s="48" t="s">
        <v>1048</v>
      </c>
      <c r="E374" s="47" t="s">
        <v>30</v>
      </c>
      <c r="F374" s="47" t="s">
        <v>730</v>
      </c>
      <c r="G374" s="47" t="str">
        <f>VLOOKUP(E374,Listas!$E$2:$H$45,2,0)</f>
        <v xml:space="preserve">Sistemas Metálicos </v>
      </c>
      <c r="H374" s="47" t="str">
        <f>VLOOKUP(E374,Listas!$E$2:$G$45,3,0)</f>
        <v>Pablo Velasco</v>
      </c>
      <c r="I374" s="47" t="s">
        <v>989</v>
      </c>
      <c r="J374" s="47"/>
      <c r="K374" s="38"/>
      <c r="L374" s="38"/>
      <c r="M374" s="40" t="str">
        <f t="shared" ca="1" si="49"/>
        <v>ABIERTO</v>
      </c>
      <c r="N374" s="47"/>
    </row>
    <row r="375" spans="1:14" ht="17.25" customHeight="1">
      <c r="A375" s="47">
        <f t="shared" si="45"/>
        <v>372</v>
      </c>
      <c r="B375" s="46">
        <v>46210</v>
      </c>
      <c r="C375" s="37" t="s">
        <v>16</v>
      </c>
      <c r="D375" s="48" t="s">
        <v>1049</v>
      </c>
      <c r="E375" s="47" t="s">
        <v>1031</v>
      </c>
      <c r="F375" s="47" t="s">
        <v>1025</v>
      </c>
      <c r="G375" s="42" t="s">
        <v>1012</v>
      </c>
      <c r="H375" s="47" t="str">
        <f>VLOOKUP(E375,Listas!$E$2:$G$45,3,0)</f>
        <v>Edison Lema</v>
      </c>
      <c r="I375" s="47" t="s">
        <v>1050</v>
      </c>
      <c r="J375" s="47"/>
      <c r="K375" s="38"/>
      <c r="L375" s="38"/>
      <c r="M375" s="40" t="str">
        <f t="shared" ca="1" si="49"/>
        <v>ABIERTO</v>
      </c>
      <c r="N375" s="47"/>
    </row>
    <row r="376" spans="1:14" ht="15.75" customHeight="1">
      <c r="A376" s="47">
        <f t="shared" si="45"/>
        <v>373</v>
      </c>
      <c r="B376" s="46">
        <v>46210</v>
      </c>
      <c r="C376" s="37" t="s">
        <v>16</v>
      </c>
      <c r="D376" s="48" t="s">
        <v>1051</v>
      </c>
      <c r="E376" s="47" t="s">
        <v>147</v>
      </c>
      <c r="F376" s="47" t="s">
        <v>1052</v>
      </c>
      <c r="G376" s="47" t="str">
        <f>VLOOKUP(E376,Listas!$E$2:$H$45,2,0)</f>
        <v>Paneles</v>
      </c>
      <c r="H376" s="47" t="str">
        <f>VLOOKUP(E376,Listas!$E$2:$G$45,3,0)</f>
        <v>Daniel Espinoza</v>
      </c>
      <c r="I376" s="47" t="s">
        <v>1053</v>
      </c>
      <c r="J376" s="47"/>
      <c r="K376" s="38"/>
      <c r="L376" s="38"/>
      <c r="M376" s="40" t="str">
        <f t="shared" ca="1" si="49"/>
        <v>ABIERTO</v>
      </c>
      <c r="N376" s="47"/>
    </row>
    <row r="377" spans="1:14" ht="15" customHeight="1">
      <c r="A377" s="47">
        <f t="shared" si="45"/>
        <v>374</v>
      </c>
      <c r="B377" s="46">
        <v>46210</v>
      </c>
      <c r="C377" s="37" t="s">
        <v>16</v>
      </c>
      <c r="D377" s="48" t="s">
        <v>1054</v>
      </c>
      <c r="E377" s="47" t="s">
        <v>147</v>
      </c>
      <c r="F377" s="47" t="s">
        <v>1055</v>
      </c>
      <c r="G377" s="47" t="str">
        <f>VLOOKUP(E377,Listas!$E$2:$H$45,2,0)</f>
        <v>Paneles</v>
      </c>
      <c r="H377" s="47" t="str">
        <f>VLOOKUP(E377,Listas!$E$2:$G$45,3,0)</f>
        <v>Daniel Espinoza</v>
      </c>
      <c r="I377" s="47" t="s">
        <v>1056</v>
      </c>
      <c r="J377" s="47"/>
      <c r="K377" s="38"/>
      <c r="L377" s="38"/>
      <c r="M377" s="40" t="str">
        <f t="shared" ca="1" si="49"/>
        <v>ABIERTO</v>
      </c>
      <c r="N377" s="47"/>
    </row>
    <row r="378" spans="1:14">
      <c r="A378" s="47">
        <f t="shared" si="45"/>
        <v>375</v>
      </c>
      <c r="B378" s="46">
        <v>46210</v>
      </c>
      <c r="C378" s="37" t="s">
        <v>16</v>
      </c>
      <c r="D378" s="57" t="s">
        <v>1057</v>
      </c>
      <c r="E378" s="47" t="s">
        <v>147</v>
      </c>
      <c r="F378" s="47" t="s">
        <v>1025</v>
      </c>
      <c r="G378" s="47" t="str">
        <f>VLOOKUP(E378,Listas!$E$2:$H$45,2,0)</f>
        <v>Paneles</v>
      </c>
      <c r="H378" s="47" t="str">
        <f>VLOOKUP(E378,Listas!$E$2:$G$45,3,0)</f>
        <v>Daniel Espinoza</v>
      </c>
      <c r="I378" s="47" t="s">
        <v>1003</v>
      </c>
      <c r="J378" s="47"/>
      <c r="K378" s="38">
        <v>46210</v>
      </c>
      <c r="L378" s="38">
        <v>46210</v>
      </c>
      <c r="M378" s="40" t="str">
        <f t="shared" ca="1" si="49"/>
        <v>CERRADO</v>
      </c>
      <c r="N378" s="47"/>
    </row>
    <row r="379" spans="1:14">
      <c r="A379" s="5">
        <f t="shared" si="45"/>
        <v>376</v>
      </c>
      <c r="B379" s="4">
        <v>46210</v>
      </c>
      <c r="C379" s="1" t="s">
        <v>16</v>
      </c>
      <c r="D379" s="14" t="s">
        <v>1018</v>
      </c>
      <c r="E379" s="5" t="s">
        <v>30</v>
      </c>
      <c r="F379" s="5" t="s">
        <v>730</v>
      </c>
      <c r="G379" s="5" t="str">
        <f>VLOOKUP(E379,Listas!$E$2:$H$45,2,0)</f>
        <v xml:space="preserve">Sistemas Metálicos </v>
      </c>
      <c r="H379" s="5" t="str">
        <f>VLOOKUP(E379,Listas!$E$2:$G$45,3,0)</f>
        <v>Pablo Velasco</v>
      </c>
      <c r="I379" s="5" t="s">
        <v>1021</v>
      </c>
      <c r="J379" s="5"/>
      <c r="L379" s="2">
        <f t="shared" ref="L379:L382" si="50">B379+5</f>
        <v>46215</v>
      </c>
      <c r="M379" s="1" t="str">
        <f t="shared" ref="M379:M382" ca="1" si="51">IF(L379&lt;TODAY(),"CERRADO","ABIERTO")</f>
        <v>CERRADO</v>
      </c>
      <c r="N379" s="5"/>
    </row>
    <row r="380" spans="1:14">
      <c r="A380" s="5">
        <f t="shared" si="45"/>
        <v>377</v>
      </c>
      <c r="B380" s="4">
        <v>46210</v>
      </c>
      <c r="C380" s="1" t="s">
        <v>16</v>
      </c>
      <c r="D380" s="14" t="s">
        <v>1004</v>
      </c>
      <c r="E380" s="5" t="s">
        <v>30</v>
      </c>
      <c r="F380" s="5" t="s">
        <v>1006</v>
      </c>
      <c r="G380" s="5" t="str">
        <f>VLOOKUP(E380,Listas!$E$2:$H$45,2,0)</f>
        <v xml:space="preserve">Sistemas Metálicos </v>
      </c>
      <c r="H380" s="5" t="str">
        <f>VLOOKUP(E380,Listas!$E$2:$G$45,3,0)</f>
        <v>Pablo Velasco</v>
      </c>
      <c r="I380" s="5" t="s">
        <v>1009</v>
      </c>
      <c r="J380" s="5"/>
      <c r="L380" s="2">
        <f t="shared" si="50"/>
        <v>46215</v>
      </c>
      <c r="M380" s="1" t="str">
        <f t="shared" ca="1" si="51"/>
        <v>CERRADO</v>
      </c>
      <c r="N380" s="5"/>
    </row>
    <row r="381" spans="1:14">
      <c r="A381" s="5">
        <f t="shared" si="45"/>
        <v>378</v>
      </c>
      <c r="B381" s="4">
        <v>46210</v>
      </c>
      <c r="C381" s="1" t="s">
        <v>16</v>
      </c>
      <c r="D381" s="14" t="s">
        <v>1058</v>
      </c>
      <c r="E381" s="5" t="s">
        <v>121</v>
      </c>
      <c r="F381" s="5" t="s">
        <v>1052</v>
      </c>
      <c r="G381" s="5" t="str">
        <f>VLOOKUP(E381,Listas!$E$2:$H$45,2,0)</f>
        <v>Soldadura</v>
      </c>
      <c r="H381" s="5" t="str">
        <f>VLOOKUP(E381,Listas!$E$2:$G$45,3,0)</f>
        <v>Brian Sarzosa</v>
      </c>
      <c r="I381" s="5" t="s">
        <v>1003</v>
      </c>
      <c r="J381" s="5"/>
      <c r="L381" s="2">
        <f t="shared" si="50"/>
        <v>46215</v>
      </c>
      <c r="M381" s="1" t="str">
        <f t="shared" ca="1" si="51"/>
        <v>CERRADO</v>
      </c>
      <c r="N381" s="5"/>
    </row>
    <row r="382" spans="1:14">
      <c r="A382" s="5">
        <f t="shared" si="45"/>
        <v>379</v>
      </c>
      <c r="B382" s="4">
        <v>46210</v>
      </c>
      <c r="C382" s="1" t="s">
        <v>16</v>
      </c>
      <c r="D382" s="14" t="s">
        <v>1059</v>
      </c>
      <c r="E382" s="5" t="s">
        <v>30</v>
      </c>
      <c r="F382" s="5" t="s">
        <v>1052</v>
      </c>
      <c r="G382" s="5" t="str">
        <f>VLOOKUP(E382,Listas!$E$2:$H$45,2,0)</f>
        <v xml:space="preserve">Sistemas Metálicos </v>
      </c>
      <c r="H382" s="5" t="str">
        <f>VLOOKUP(E382,Listas!$E$2:$G$45,3,0)</f>
        <v>Pablo Velasco</v>
      </c>
      <c r="I382" s="5" t="s">
        <v>1003</v>
      </c>
      <c r="J382" s="5"/>
      <c r="L382" s="2">
        <f t="shared" si="50"/>
        <v>46215</v>
      </c>
      <c r="M382" s="1" t="str">
        <f t="shared" ca="1" si="51"/>
        <v>CERRADO</v>
      </c>
      <c r="N382" s="5"/>
    </row>
    <row r="383" spans="1:14" ht="14.25" customHeight="1">
      <c r="A383" s="47">
        <f t="shared" si="45"/>
        <v>380</v>
      </c>
      <c r="B383" s="46">
        <v>46210</v>
      </c>
      <c r="C383" s="37" t="s">
        <v>16</v>
      </c>
      <c r="D383" s="48" t="s">
        <v>1030</v>
      </c>
      <c r="E383" s="47" t="s">
        <v>1031</v>
      </c>
      <c r="F383" s="47" t="s">
        <v>1025</v>
      </c>
      <c r="G383" s="42" t="s">
        <v>1012</v>
      </c>
      <c r="H383" s="47" t="str">
        <f>VLOOKUP(E383,Listas!$E$2:$G$45,3,0)</f>
        <v>Edison Lema</v>
      </c>
      <c r="I383" s="47" t="s">
        <v>1032</v>
      </c>
      <c r="J383" s="47"/>
      <c r="K383" s="38"/>
      <c r="L383" s="38"/>
      <c r="M383" s="40" t="str">
        <f ca="1">IF(L383&lt;&gt;"","CERRADO",IF(K383&gt;TODAY(),"EN PROCESO",IF(L383="","ABIERTO")))</f>
        <v>ABIERTO</v>
      </c>
      <c r="N383" s="47"/>
    </row>
    <row r="384" spans="1:14">
      <c r="A384" s="5">
        <f t="shared" si="45"/>
        <v>381</v>
      </c>
      <c r="B384" s="4">
        <v>46210</v>
      </c>
      <c r="C384" s="1" t="s">
        <v>16</v>
      </c>
      <c r="D384" s="14" t="s">
        <v>1060</v>
      </c>
      <c r="E384" s="5" t="s">
        <v>121</v>
      </c>
      <c r="F384" s="5" t="s">
        <v>1055</v>
      </c>
      <c r="G384" s="5" t="str">
        <f>VLOOKUP(E384,Listas!$E$2:$H$45,2,0)</f>
        <v>Soldadura</v>
      </c>
      <c r="H384" s="5" t="str">
        <f>VLOOKUP(E384,Listas!$E$2:$G$45,3,0)</f>
        <v>Brian Sarzosa</v>
      </c>
      <c r="I384" s="5" t="s">
        <v>1061</v>
      </c>
      <c r="J384" s="5"/>
      <c r="L384" s="2">
        <f>B384+5</f>
        <v>46215</v>
      </c>
      <c r="M384" s="1" t="str">
        <f t="shared" ref="M384" ca="1" si="52">IF(L384&lt;TODAY(),"CERRADO","ABIERTO")</f>
        <v>CERRADO</v>
      </c>
      <c r="N384" s="5"/>
    </row>
    <row r="385" spans="1:14" ht="21.75" customHeight="1">
      <c r="A385" s="47">
        <f t="shared" si="45"/>
        <v>382</v>
      </c>
      <c r="B385" s="46">
        <v>46210</v>
      </c>
      <c r="C385" s="37" t="s">
        <v>16</v>
      </c>
      <c r="D385" s="48" t="s">
        <v>1062</v>
      </c>
      <c r="E385" s="47" t="s">
        <v>1063</v>
      </c>
      <c r="F385" s="47" t="s">
        <v>1052</v>
      </c>
      <c r="G385" s="47" t="str">
        <f>VLOOKUP(E385,Listas!$E$2:$H$45,2,0)</f>
        <v>Viales</v>
      </c>
      <c r="H385" s="47" t="str">
        <f>VLOOKUP(E385,Listas!$E$2:$G$45,3,0)</f>
        <v>Mario Guaman</v>
      </c>
      <c r="I385" s="47" t="s">
        <v>1003</v>
      </c>
      <c r="J385" s="47"/>
      <c r="K385" s="38"/>
      <c r="L385" s="38"/>
      <c r="M385" s="40" t="str">
        <f ca="1">IF(L385&lt;&gt;"","CERRADO",IF(K385&gt;TODAY(),"EN PROCESO",IF(L385="","ABIERTO")))</f>
        <v>ABIERTO</v>
      </c>
      <c r="N385" s="47"/>
    </row>
    <row r="386" spans="1:14">
      <c r="A386" s="5">
        <f t="shared" si="45"/>
        <v>383</v>
      </c>
      <c r="B386" s="4">
        <v>46210</v>
      </c>
      <c r="C386" s="1" t="s">
        <v>16</v>
      </c>
      <c r="D386" s="14" t="s">
        <v>1018</v>
      </c>
      <c r="E386" s="5" t="s">
        <v>152</v>
      </c>
      <c r="F386" s="5" t="s">
        <v>1064</v>
      </c>
      <c r="G386" s="5" t="str">
        <f>VLOOKUP(E386,Listas!$E$2:$H$45,2,0)</f>
        <v>Viales</v>
      </c>
      <c r="H386" s="5" t="str">
        <f>VLOOKUP(E386,Listas!$E$2:$G$45,3,0)</f>
        <v>Mario Guaman</v>
      </c>
      <c r="I386" s="5" t="s">
        <v>1065</v>
      </c>
      <c r="J386" s="5"/>
      <c r="L386" s="2">
        <f t="shared" ref="L386:L387" si="53">B386+5</f>
        <v>46215</v>
      </c>
      <c r="M386" s="1" t="str">
        <f t="shared" ref="M386:M387" ca="1" si="54">IF(L386&lt;TODAY(),"CERRADO","ABIERTO")</f>
        <v>CERRADO</v>
      </c>
      <c r="N386" s="5"/>
    </row>
    <row r="387" spans="1:14">
      <c r="A387" s="5">
        <f t="shared" si="45"/>
        <v>384</v>
      </c>
      <c r="B387" s="4">
        <v>46210</v>
      </c>
      <c r="C387" s="1" t="s">
        <v>16</v>
      </c>
      <c r="D387" s="25" t="s">
        <v>1066</v>
      </c>
      <c r="E387" s="5" t="s">
        <v>121</v>
      </c>
      <c r="F387" s="5"/>
      <c r="G387" s="5" t="str">
        <f>VLOOKUP(E387,Listas!$E$2:$H$45,2,0)</f>
        <v>Soldadura</v>
      </c>
      <c r="H387" s="5" t="str">
        <f>VLOOKUP(E387,Listas!$E$2:$G$45,3,0)</f>
        <v>Brian Sarzosa</v>
      </c>
      <c r="I387" s="5"/>
      <c r="J387" s="5"/>
      <c r="L387" s="2">
        <f t="shared" si="53"/>
        <v>46215</v>
      </c>
      <c r="M387" s="1" t="str">
        <f t="shared" ca="1" si="54"/>
        <v>CERRADO</v>
      </c>
      <c r="N387" s="5"/>
    </row>
    <row r="388" spans="1:14" ht="19.5" customHeight="1">
      <c r="A388" s="47">
        <f t="shared" si="45"/>
        <v>385</v>
      </c>
      <c r="B388" s="46">
        <v>46211</v>
      </c>
      <c r="C388" s="37" t="s">
        <v>16</v>
      </c>
      <c r="D388" s="48" t="s">
        <v>1067</v>
      </c>
      <c r="E388" s="47" t="s">
        <v>1068</v>
      </c>
      <c r="F388" s="32" t="s">
        <v>1069</v>
      </c>
      <c r="G388" s="47" t="str">
        <f>VLOOKUP(E388,Listas!$E$2:$H$45,2,0)</f>
        <v>Soldadura</v>
      </c>
      <c r="H388" s="47" t="str">
        <f>VLOOKUP(E388,Listas!$E$2:$G$45,3,0)</f>
        <v>Brian Sarzosa</v>
      </c>
      <c r="I388" s="47" t="s">
        <v>1003</v>
      </c>
      <c r="J388" s="47"/>
      <c r="K388" s="38"/>
      <c r="L388" s="38"/>
      <c r="M388" s="40" t="str">
        <f t="shared" ref="M388:M391" ca="1" si="55">IF(L388&lt;&gt;"","CERRADO",IF(K388&gt;TODAY(),"EN PROCESO",IF(L388="","ABIERTO")))</f>
        <v>ABIERTO</v>
      </c>
      <c r="N388" s="47"/>
    </row>
    <row r="389" spans="1:14" ht="15.75" customHeight="1">
      <c r="A389" s="47">
        <f t="shared" si="45"/>
        <v>386</v>
      </c>
      <c r="B389" s="46">
        <v>46211</v>
      </c>
      <c r="C389" s="37" t="s">
        <v>16</v>
      </c>
      <c r="D389" s="48" t="s">
        <v>1070</v>
      </c>
      <c r="E389" s="47" t="s">
        <v>1031</v>
      </c>
      <c r="F389" s="47" t="s">
        <v>1069</v>
      </c>
      <c r="G389" s="42" t="s">
        <v>1012</v>
      </c>
      <c r="H389" s="47" t="str">
        <f>VLOOKUP(E389,Listas!$E$2:$G$45,3,0)</f>
        <v>Edison Lema</v>
      </c>
      <c r="I389" s="47" t="s">
        <v>1003</v>
      </c>
      <c r="J389" s="47"/>
      <c r="K389" s="38"/>
      <c r="L389" s="38"/>
      <c r="M389" s="40" t="str">
        <f t="shared" ca="1" si="55"/>
        <v>ABIERTO</v>
      </c>
      <c r="N389" s="47"/>
    </row>
    <row r="390" spans="1:14" ht="34.5" customHeight="1">
      <c r="A390" s="47">
        <f t="shared" si="45"/>
        <v>387</v>
      </c>
      <c r="B390" s="46">
        <v>46211</v>
      </c>
      <c r="C390" s="37" t="s">
        <v>16</v>
      </c>
      <c r="D390" s="48" t="s">
        <v>1071</v>
      </c>
      <c r="E390" s="47" t="s">
        <v>121</v>
      </c>
      <c r="F390" s="47" t="s">
        <v>1055</v>
      </c>
      <c r="G390" s="47" t="str">
        <f>VLOOKUP(E390,Listas!$E$2:$H$45,2,0)</f>
        <v>Soldadura</v>
      </c>
      <c r="H390" s="47" t="str">
        <f>VLOOKUP(E390,Listas!$E$2:$G$45,3,0)</f>
        <v>Brian Sarzosa</v>
      </c>
      <c r="I390" s="47" t="s">
        <v>1072</v>
      </c>
      <c r="J390" s="47"/>
      <c r="K390" s="38"/>
      <c r="L390" s="38"/>
      <c r="M390" s="40" t="str">
        <f t="shared" ca="1" si="55"/>
        <v>ABIERTO</v>
      </c>
      <c r="N390" s="47"/>
    </row>
    <row r="391" spans="1:14" ht="28.5" customHeight="1">
      <c r="A391" s="47">
        <f t="shared" si="45"/>
        <v>388</v>
      </c>
      <c r="B391" s="46">
        <v>46211</v>
      </c>
      <c r="C391" s="37" t="s">
        <v>16</v>
      </c>
      <c r="D391" s="48" t="s">
        <v>1073</v>
      </c>
      <c r="E391" s="47" t="s">
        <v>1074</v>
      </c>
      <c r="F391" s="47" t="s">
        <v>1052</v>
      </c>
      <c r="G391" s="47" t="str">
        <f>VLOOKUP(E391,Listas!$E$2:$H$45,2,0)</f>
        <v>Corte &amp; Conformado</v>
      </c>
      <c r="H391" s="47" t="str">
        <f>VLOOKUP(E391,Listas!$E$2:$G$45,3,0)</f>
        <v>Pablo Velasco</v>
      </c>
      <c r="I391" s="47" t="s">
        <v>1075</v>
      </c>
      <c r="J391" s="47"/>
      <c r="K391" s="38"/>
      <c r="L391" s="38"/>
      <c r="M391" s="40" t="str">
        <f t="shared" ca="1" si="55"/>
        <v>ABIERTO</v>
      </c>
      <c r="N391" s="47"/>
    </row>
    <row r="392" spans="1:14">
      <c r="A392" s="5">
        <f>A391+1</f>
        <v>389</v>
      </c>
      <c r="B392" s="4">
        <v>46212</v>
      </c>
      <c r="C392" s="1" t="s">
        <v>16</v>
      </c>
      <c r="D392" s="14" t="s">
        <v>914</v>
      </c>
      <c r="E392" s="5" t="s">
        <v>1076</v>
      </c>
      <c r="F392" s="5" t="s">
        <v>1077</v>
      </c>
      <c r="G392" s="5" t="str">
        <f>VLOOKUP(E392,Listas!$E$2:$H$45,2,0)</f>
        <v>Soldadura</v>
      </c>
      <c r="H392" s="5" t="str">
        <f>VLOOKUP(E392,Listas!$E$2:$G$45,3,0)</f>
        <v>Brian Sarzosa</v>
      </c>
      <c r="I392" s="5" t="s">
        <v>916</v>
      </c>
      <c r="J392" s="5"/>
      <c r="L392" s="2">
        <f>B392+5</f>
        <v>46217</v>
      </c>
      <c r="M392" s="1" t="str">
        <f t="shared" ref="M392" ca="1" si="56">IF(L392&lt;TODAY(),"CERRADO","ABIERTO")</f>
        <v>CERRADO</v>
      </c>
      <c r="N392" s="5"/>
    </row>
    <row r="393" spans="1:14" ht="28.8">
      <c r="A393" s="47">
        <f t="shared" si="45"/>
        <v>390</v>
      </c>
      <c r="B393" s="46">
        <v>46213</v>
      </c>
      <c r="C393" s="37" t="s">
        <v>24</v>
      </c>
      <c r="D393" s="57" t="s">
        <v>1078</v>
      </c>
      <c r="E393" s="47" t="s">
        <v>20</v>
      </c>
      <c r="F393" s="47" t="s">
        <v>1079</v>
      </c>
      <c r="G393" s="47" t="str">
        <f>VLOOKUP(E393,Listas!$E$2:$H$45,2,0)</f>
        <v>Proyectos Internos</v>
      </c>
      <c r="H393" s="47" t="str">
        <f>VLOOKUP(E393,Listas!$E$2:$G$45,3,0)</f>
        <v>André Cobo</v>
      </c>
      <c r="I393" s="47" t="s">
        <v>1080</v>
      </c>
      <c r="J393" s="47"/>
      <c r="K393" s="38">
        <v>46213</v>
      </c>
      <c r="L393" s="38">
        <v>46213</v>
      </c>
      <c r="M393" s="40" t="str">
        <f t="shared" ref="M393:M394" ca="1" si="57">IF(L393&lt;&gt;"","CERRADO",IF(K393&gt;TODAY(),"EN PROCESO",IF(L393="","ABIERTO")))</f>
        <v>CERRADO</v>
      </c>
      <c r="N393" s="47"/>
    </row>
    <row r="394" spans="1:14" ht="18" customHeight="1">
      <c r="A394" s="47">
        <f t="shared" si="45"/>
        <v>391</v>
      </c>
      <c r="B394" s="46">
        <v>46213</v>
      </c>
      <c r="C394" s="37" t="s">
        <v>16</v>
      </c>
      <c r="D394" s="48" t="s">
        <v>1081</v>
      </c>
      <c r="E394" s="47" t="s">
        <v>1031</v>
      </c>
      <c r="F394" s="47" t="s">
        <v>1052</v>
      </c>
      <c r="G394" s="42" t="s">
        <v>1012</v>
      </c>
      <c r="H394" s="47" t="str">
        <f>VLOOKUP(E394,Listas!$E$2:$G$45,3,0)</f>
        <v>Edison Lema</v>
      </c>
      <c r="I394" s="47" t="s">
        <v>1082</v>
      </c>
      <c r="J394" s="47"/>
      <c r="K394" s="38"/>
      <c r="L394" s="38"/>
      <c r="M394" s="40" t="str">
        <f t="shared" ca="1" si="57"/>
        <v>ABIERTO</v>
      </c>
      <c r="N394" s="47"/>
    </row>
    <row r="395" spans="1:14">
      <c r="A395" s="5">
        <f t="shared" si="45"/>
        <v>392</v>
      </c>
      <c r="B395" s="4">
        <v>46213</v>
      </c>
      <c r="C395" s="1" t="s">
        <v>16</v>
      </c>
      <c r="D395" s="14" t="s">
        <v>1083</v>
      </c>
      <c r="E395" s="5" t="s">
        <v>121</v>
      </c>
      <c r="F395" s="5" t="s">
        <v>1084</v>
      </c>
      <c r="G395" s="5" t="str">
        <f>VLOOKUP(E395,Listas!$E$2:$H$45,2,0)</f>
        <v>Soldadura</v>
      </c>
      <c r="H395" s="5" t="str">
        <f>VLOOKUP(E395,Listas!$E$2:$G$45,3,0)</f>
        <v>Brian Sarzosa</v>
      </c>
      <c r="I395" s="5" t="s">
        <v>1085</v>
      </c>
      <c r="J395" s="5"/>
      <c r="L395" s="2">
        <f>B395+5</f>
        <v>46218</v>
      </c>
      <c r="M395" s="1" t="str">
        <f t="shared" ref="M395" ca="1" si="58">IF(L395&lt;TODAY(),"CERRADO","ABIERTO")</f>
        <v>CERRADO</v>
      </c>
      <c r="N395" s="5"/>
    </row>
    <row r="396" spans="1:14">
      <c r="A396" s="47">
        <f t="shared" si="45"/>
        <v>393</v>
      </c>
      <c r="B396" s="46">
        <v>46213</v>
      </c>
      <c r="C396" s="37" t="s">
        <v>16</v>
      </c>
      <c r="D396" s="57" t="s">
        <v>1086</v>
      </c>
      <c r="E396" s="47" t="s">
        <v>147</v>
      </c>
      <c r="F396" s="47" t="s">
        <v>279</v>
      </c>
      <c r="G396" s="47" t="str">
        <f>VLOOKUP(E396,Listas!$E$2:$H$45,2,0)</f>
        <v>Paneles</v>
      </c>
      <c r="H396" s="47" t="str">
        <f>VLOOKUP(E396,Listas!$E$2:$G$45,3,0)</f>
        <v>Daniel Espinoza</v>
      </c>
      <c r="I396" s="47" t="s">
        <v>1087</v>
      </c>
      <c r="J396" s="47"/>
      <c r="K396" s="38">
        <v>46234</v>
      </c>
      <c r="L396" s="38">
        <v>46234</v>
      </c>
      <c r="M396" s="40" t="str">
        <f ca="1">IF(L396&lt;&gt;"","CERRADO",IF(K396&gt;TODAY(),"EN PROCESO",IF(L396="","ABIERTO")))</f>
        <v>CERRADO</v>
      </c>
      <c r="N396" s="47"/>
    </row>
    <row r="397" spans="1:14">
      <c r="A397" s="5">
        <f t="shared" si="45"/>
        <v>394</v>
      </c>
      <c r="B397" s="4">
        <v>46217</v>
      </c>
      <c r="C397" s="1" t="s">
        <v>16</v>
      </c>
      <c r="D397" s="14" t="s">
        <v>1018</v>
      </c>
      <c r="E397" s="5" t="s">
        <v>121</v>
      </c>
      <c r="F397" s="5" t="s">
        <v>1064</v>
      </c>
      <c r="G397" s="5" t="str">
        <f>VLOOKUP(E397,Listas!$E$2:$H$45,2,0)</f>
        <v>Soldadura</v>
      </c>
      <c r="H397" s="5" t="str">
        <f>VLOOKUP(E397,Listas!$E$2:$G$45,3,0)</f>
        <v>Brian Sarzosa</v>
      </c>
      <c r="I397" s="5" t="s">
        <v>916</v>
      </c>
      <c r="J397" s="5"/>
      <c r="L397" s="2">
        <f t="shared" ref="L397:L400" si="59">B397+5</f>
        <v>46222</v>
      </c>
      <c r="M397" s="1" t="str">
        <f t="shared" ref="M397:M400" ca="1" si="60">IF(L397&lt;TODAY(),"CERRADO","ABIERTO")</f>
        <v>CERRADO</v>
      </c>
      <c r="N397" s="5"/>
    </row>
    <row r="398" spans="1:14">
      <c r="A398" s="5">
        <f t="shared" si="45"/>
        <v>395</v>
      </c>
      <c r="B398" s="4">
        <v>46217</v>
      </c>
      <c r="C398" s="1" t="s">
        <v>16</v>
      </c>
      <c r="D398" s="14" t="s">
        <v>1027</v>
      </c>
      <c r="E398" s="5" t="s">
        <v>121</v>
      </c>
      <c r="F398" s="5" t="s">
        <v>664</v>
      </c>
      <c r="G398" s="5" t="str">
        <f>VLOOKUP(E398,Listas!$E$2:$H$45,2,0)</f>
        <v>Soldadura</v>
      </c>
      <c r="H398" s="5" t="str">
        <f>VLOOKUP(E398,Listas!$E$2:$G$45,3,0)</f>
        <v>Brian Sarzosa</v>
      </c>
      <c r="I398" s="5" t="s">
        <v>1029</v>
      </c>
      <c r="J398" s="5"/>
      <c r="L398" s="2">
        <f t="shared" si="59"/>
        <v>46222</v>
      </c>
      <c r="M398" s="1" t="str">
        <f t="shared" ca="1" si="60"/>
        <v>CERRADO</v>
      </c>
      <c r="N398" s="5"/>
    </row>
    <row r="399" spans="1:14">
      <c r="A399" s="5">
        <f t="shared" si="45"/>
        <v>396</v>
      </c>
      <c r="B399" s="4">
        <v>46217</v>
      </c>
      <c r="C399" s="1" t="s">
        <v>16</v>
      </c>
      <c r="D399" s="14" t="s">
        <v>1088</v>
      </c>
      <c r="E399" s="5" t="s">
        <v>1089</v>
      </c>
      <c r="F399" s="5" t="s">
        <v>1077</v>
      </c>
      <c r="G399" s="5" t="str">
        <f>VLOOKUP(E399,Listas!$E$2:$H$45,2,0)</f>
        <v>Corte &amp; Conformado</v>
      </c>
      <c r="H399" s="5" t="str">
        <f>VLOOKUP(E399,Listas!$E$2:$G$45,3,0)</f>
        <v>Pablo Velasco</v>
      </c>
      <c r="I399" s="5" t="s">
        <v>1090</v>
      </c>
      <c r="J399" s="5"/>
      <c r="L399" s="2">
        <f t="shared" si="59"/>
        <v>46222</v>
      </c>
      <c r="M399" s="1" t="str">
        <f t="shared" ca="1" si="60"/>
        <v>CERRADO</v>
      </c>
      <c r="N399" s="5"/>
    </row>
    <row r="400" spans="1:14">
      <c r="A400" s="5">
        <f t="shared" si="45"/>
        <v>397</v>
      </c>
      <c r="B400" s="4">
        <v>46217</v>
      </c>
      <c r="C400" s="1" t="s">
        <v>16</v>
      </c>
      <c r="D400" s="14" t="s">
        <v>1091</v>
      </c>
      <c r="E400" s="5" t="s">
        <v>1068</v>
      </c>
      <c r="F400" s="5" t="s">
        <v>1064</v>
      </c>
      <c r="G400" s="5" t="str">
        <f>VLOOKUP(E400,Listas!$E$2:$H$45,2,0)</f>
        <v>Soldadura</v>
      </c>
      <c r="H400" s="5" t="str">
        <f>VLOOKUP(E400,Listas!$E$2:$G$45,3,0)</f>
        <v>Brian Sarzosa</v>
      </c>
      <c r="I400" s="5" t="s">
        <v>1092</v>
      </c>
      <c r="J400" s="5"/>
      <c r="L400" s="2">
        <f t="shared" si="59"/>
        <v>46222</v>
      </c>
      <c r="M400" s="1" t="str">
        <f t="shared" ca="1" si="60"/>
        <v>CERRADO</v>
      </c>
      <c r="N400" s="5"/>
    </row>
    <row r="401" spans="1:14" ht="21" customHeight="1">
      <c r="A401" s="47">
        <f t="shared" si="45"/>
        <v>398</v>
      </c>
      <c r="B401" s="46">
        <v>46217</v>
      </c>
      <c r="C401" s="37" t="s">
        <v>16</v>
      </c>
      <c r="D401" s="48" t="s">
        <v>1093</v>
      </c>
      <c r="E401" s="47" t="s">
        <v>1031</v>
      </c>
      <c r="F401" s="47" t="s">
        <v>1094</v>
      </c>
      <c r="G401" s="42" t="s">
        <v>1012</v>
      </c>
      <c r="H401" s="47" t="str">
        <f>VLOOKUP(E401,Listas!$E$2:$G$45,3,0)</f>
        <v>Edison Lema</v>
      </c>
      <c r="I401" s="47" t="s">
        <v>1095</v>
      </c>
      <c r="J401" s="47"/>
      <c r="K401" s="38"/>
      <c r="L401" s="38"/>
      <c r="M401" s="40" t="str">
        <f ca="1">IF(L401&lt;&gt;"","CERRADO",IF(K401&gt;TODAY(),"EN PROCESO",IF(L401="","ABIERTO")))</f>
        <v>ABIERTO</v>
      </c>
      <c r="N401" s="47"/>
    </row>
    <row r="402" spans="1:14">
      <c r="A402" s="5">
        <f t="shared" si="45"/>
        <v>399</v>
      </c>
      <c r="B402" s="4">
        <v>46217</v>
      </c>
      <c r="C402" s="1" t="s">
        <v>16</v>
      </c>
      <c r="D402" s="14" t="s">
        <v>1096</v>
      </c>
      <c r="E402" s="5" t="s">
        <v>1097</v>
      </c>
      <c r="F402" s="5" t="s">
        <v>730</v>
      </c>
      <c r="G402" s="5" t="str">
        <f>VLOOKUP(E402,Listas!$E$2:$H$45,2,0)</f>
        <v>Mantenimiento Mecánico</v>
      </c>
      <c r="H402" s="5" t="str">
        <f>VLOOKUP(E402,Listas!$E$2:$G$45,3,0)</f>
        <v>Sebastián Balseca</v>
      </c>
      <c r="I402" s="5" t="s">
        <v>1045</v>
      </c>
      <c r="J402" s="5"/>
      <c r="L402" s="2">
        <f t="shared" ref="L402:L404" si="61">B402+5</f>
        <v>46222</v>
      </c>
      <c r="M402" s="1" t="str">
        <f t="shared" ref="M402:M404" ca="1" si="62">IF(L402&lt;TODAY(),"CERRADO","ABIERTO")</f>
        <v>CERRADO</v>
      </c>
      <c r="N402" s="5"/>
    </row>
    <row r="403" spans="1:14">
      <c r="A403" s="5">
        <f t="shared" si="45"/>
        <v>400</v>
      </c>
      <c r="B403" s="4">
        <v>46217</v>
      </c>
      <c r="C403" s="1" t="s">
        <v>16</v>
      </c>
      <c r="D403" s="14" t="s">
        <v>1098</v>
      </c>
      <c r="E403" s="5" t="s">
        <v>88</v>
      </c>
      <c r="F403" s="5" t="s">
        <v>730</v>
      </c>
      <c r="G403" s="5" t="str">
        <f>VLOOKUP(E403,Listas!$E$2:$H$45,2,0)</f>
        <v>Logística</v>
      </c>
      <c r="H403" s="5" t="str">
        <f>VLOOKUP(E403,Listas!$E$2:$G$45,3,0)</f>
        <v>Alejandro Pesantez</v>
      </c>
      <c r="I403" s="5" t="s">
        <v>1045</v>
      </c>
      <c r="J403" s="5"/>
      <c r="L403" s="2">
        <f t="shared" si="61"/>
        <v>46222</v>
      </c>
      <c r="M403" s="1" t="str">
        <f t="shared" ca="1" si="62"/>
        <v>CERRADO</v>
      </c>
      <c r="N403" s="5"/>
    </row>
    <row r="404" spans="1:14">
      <c r="A404" s="5">
        <f t="shared" si="45"/>
        <v>401</v>
      </c>
      <c r="B404" s="4">
        <v>46217</v>
      </c>
      <c r="C404" s="1" t="s">
        <v>16</v>
      </c>
      <c r="D404" s="14" t="s">
        <v>1099</v>
      </c>
      <c r="E404" s="5" t="s">
        <v>88</v>
      </c>
      <c r="F404" s="5" t="s">
        <v>730</v>
      </c>
      <c r="G404" s="5" t="str">
        <f>VLOOKUP(E404,Listas!$E$2:$H$45,2,0)</f>
        <v>Logística</v>
      </c>
      <c r="H404" s="5" t="str">
        <f>VLOOKUP(E404,Listas!$E$2:$G$45,3,0)</f>
        <v>Alejandro Pesantez</v>
      </c>
      <c r="I404" s="5" t="s">
        <v>1100</v>
      </c>
      <c r="J404" s="5"/>
      <c r="L404" s="2">
        <f t="shared" si="61"/>
        <v>46222</v>
      </c>
      <c r="M404" s="1" t="str">
        <f t="shared" ca="1" si="62"/>
        <v>CERRADO</v>
      </c>
      <c r="N404" s="5"/>
    </row>
    <row r="405" spans="1:14" ht="15" customHeight="1">
      <c r="A405" s="47">
        <f t="shared" si="45"/>
        <v>402</v>
      </c>
      <c r="B405" s="46">
        <v>46217</v>
      </c>
      <c r="C405" s="37" t="s">
        <v>16</v>
      </c>
      <c r="D405" s="48" t="s">
        <v>1101</v>
      </c>
      <c r="E405" s="47" t="s">
        <v>88</v>
      </c>
      <c r="F405" s="47" t="s">
        <v>1094</v>
      </c>
      <c r="G405" s="47" t="str">
        <f>VLOOKUP(E405,Listas!$E$2:$H$45,2,0)</f>
        <v>Logística</v>
      </c>
      <c r="H405" s="47" t="str">
        <f>VLOOKUP(E405,Listas!$E$2:$G$45,3,0)</f>
        <v>Alejandro Pesantez</v>
      </c>
      <c r="I405" s="47" t="s">
        <v>1003</v>
      </c>
      <c r="J405" s="47"/>
      <c r="K405" s="38"/>
      <c r="L405" s="38"/>
      <c r="M405" s="40" t="str">
        <f ca="1">IF(L405&lt;&gt;"","CERRADO",IF(K405&gt;TODAY(),"EN PROCESO",IF(L405="","ABIERTO")))</f>
        <v>ABIERTO</v>
      </c>
      <c r="N405" s="47"/>
    </row>
    <row r="406" spans="1:14">
      <c r="A406" s="5">
        <f t="shared" si="45"/>
        <v>403</v>
      </c>
      <c r="B406" s="4">
        <v>46217</v>
      </c>
      <c r="C406" s="1" t="s">
        <v>16</v>
      </c>
      <c r="D406" s="14" t="s">
        <v>1102</v>
      </c>
      <c r="E406" s="5" t="s">
        <v>1031</v>
      </c>
      <c r="F406" s="5" t="s">
        <v>1077</v>
      </c>
      <c r="G406" s="42" t="s">
        <v>1012</v>
      </c>
      <c r="H406" s="5" t="str">
        <f>VLOOKUP(E406,Listas!$E$2:$G$45,3,0)</f>
        <v>Edison Lema</v>
      </c>
      <c r="I406" s="5" t="s">
        <v>1103</v>
      </c>
      <c r="J406" s="5"/>
      <c r="L406" s="2">
        <f>B406+5</f>
        <v>46222</v>
      </c>
      <c r="M406" s="1" t="str">
        <f t="shared" ref="M406" ca="1" si="63">IF(L406&lt;TODAY(),"CERRADO","ABIERTO")</f>
        <v>CERRADO</v>
      </c>
      <c r="N406" s="5"/>
    </row>
    <row r="407" spans="1:14" ht="15.75" customHeight="1">
      <c r="A407" s="47">
        <f t="shared" si="45"/>
        <v>404</v>
      </c>
      <c r="B407" s="46">
        <v>46217</v>
      </c>
      <c r="C407" s="37" t="s">
        <v>16</v>
      </c>
      <c r="D407" s="57" t="s">
        <v>1104</v>
      </c>
      <c r="E407" s="47" t="s">
        <v>1105</v>
      </c>
      <c r="F407" s="47" t="s">
        <v>1106</v>
      </c>
      <c r="G407" s="47" t="str">
        <f>VLOOKUP(E407,Listas!$E$2:$H$45,2,0)</f>
        <v>Mantenimiento Mecánico</v>
      </c>
      <c r="H407" s="47" t="str">
        <f>VLOOKUP(E407,Listas!$E$2:$G$45,3,0)</f>
        <v>Sebastián Balseca</v>
      </c>
      <c r="I407" s="47" t="s">
        <v>1107</v>
      </c>
      <c r="J407" s="47"/>
      <c r="K407" s="38"/>
      <c r="L407" s="38"/>
      <c r="M407" s="40" t="str">
        <f ca="1">IF(L407&lt;&gt;"","CERRADO",IF(K407&gt;TODAY(),"EN PROCESO",IF(L407="","ABIERTO")))</f>
        <v>ABIERTO</v>
      </c>
      <c r="N407" s="47"/>
    </row>
    <row r="408" spans="1:14">
      <c r="A408" s="5">
        <f t="shared" si="45"/>
        <v>405</v>
      </c>
      <c r="B408" s="4">
        <v>46217</v>
      </c>
      <c r="C408" s="1" t="s">
        <v>16</v>
      </c>
      <c r="D408" s="14" t="s">
        <v>1108</v>
      </c>
      <c r="E408" s="5" t="s">
        <v>1109</v>
      </c>
      <c r="F408" s="5" t="s">
        <v>1110</v>
      </c>
      <c r="G408" s="5" t="str">
        <f>VLOOKUP(E408,Listas!$E$2:$H$45,2,0)</f>
        <v>Soldadura</v>
      </c>
      <c r="H408" s="5" t="str">
        <f>VLOOKUP(E408,Listas!$E$2:$G$45,3,0)</f>
        <v>Brian Sarzosa</v>
      </c>
      <c r="I408" s="5" t="s">
        <v>1111</v>
      </c>
      <c r="J408" s="5"/>
      <c r="L408" s="2">
        <f t="shared" ref="L408:L412" si="64">B408+5</f>
        <v>46222</v>
      </c>
      <c r="M408" s="1" t="str">
        <f t="shared" ref="M408:M412" ca="1" si="65">IF(L408&lt;TODAY(),"CERRADO","ABIERTO")</f>
        <v>CERRADO</v>
      </c>
      <c r="N408" s="5"/>
    </row>
    <row r="409" spans="1:14">
      <c r="A409" s="5">
        <f t="shared" si="45"/>
        <v>406</v>
      </c>
      <c r="B409" s="4">
        <v>46217</v>
      </c>
      <c r="C409" s="1" t="s">
        <v>16</v>
      </c>
      <c r="D409" s="14" t="s">
        <v>1112</v>
      </c>
      <c r="E409" s="5" t="s">
        <v>30</v>
      </c>
      <c r="F409" s="5" t="s">
        <v>1113</v>
      </c>
      <c r="G409" s="5" t="str">
        <f>VLOOKUP(E409,Listas!$E$2:$H$45,2,0)</f>
        <v xml:space="preserve">Sistemas Metálicos </v>
      </c>
      <c r="H409" s="5" t="str">
        <f>VLOOKUP(E409,Listas!$E$2:$G$45,3,0)</f>
        <v>Pablo Velasco</v>
      </c>
      <c r="I409" s="5" t="s">
        <v>1114</v>
      </c>
      <c r="J409" s="5"/>
      <c r="L409" s="2">
        <f t="shared" si="64"/>
        <v>46222</v>
      </c>
      <c r="M409" s="1" t="str">
        <f t="shared" ca="1" si="65"/>
        <v>CERRADO</v>
      </c>
      <c r="N409" s="5"/>
    </row>
    <row r="410" spans="1:14">
      <c r="A410" s="5">
        <f t="shared" si="45"/>
        <v>407</v>
      </c>
      <c r="B410" s="4">
        <v>46218</v>
      </c>
      <c r="C410" s="1" t="s">
        <v>16</v>
      </c>
      <c r="D410" s="14" t="s">
        <v>1018</v>
      </c>
      <c r="E410" s="5" t="s">
        <v>1115</v>
      </c>
      <c r="F410" s="5" t="s">
        <v>730</v>
      </c>
      <c r="G410" s="5" t="str">
        <f>VLOOKUP(E410,Listas!$E$2:$H$45,2,0)</f>
        <v>Viales</v>
      </c>
      <c r="H410" s="5" t="str">
        <f>VLOOKUP(E410,Listas!$E$2:$G$45,3,0)</f>
        <v>Mario Guaman</v>
      </c>
      <c r="I410" s="5" t="s">
        <v>916</v>
      </c>
      <c r="J410" s="5"/>
      <c r="L410" s="2">
        <f t="shared" si="64"/>
        <v>46223</v>
      </c>
      <c r="M410" s="1" t="str">
        <f t="shared" ca="1" si="65"/>
        <v>CERRADO</v>
      </c>
      <c r="N410" s="5"/>
    </row>
    <row r="411" spans="1:14">
      <c r="A411" s="5">
        <f t="shared" si="45"/>
        <v>408</v>
      </c>
      <c r="B411" s="4">
        <v>46218</v>
      </c>
      <c r="C411" s="1" t="s">
        <v>16</v>
      </c>
      <c r="D411" s="14" t="s">
        <v>1030</v>
      </c>
      <c r="E411" s="5" t="s">
        <v>1068</v>
      </c>
      <c r="F411" s="5" t="s">
        <v>1094</v>
      </c>
      <c r="G411" s="5" t="str">
        <f>VLOOKUP(E411,Listas!$E$2:$H$45,2,0)</f>
        <v>Soldadura</v>
      </c>
      <c r="H411" s="5" t="str">
        <f>VLOOKUP(E411,Listas!$E$2:$G$45,3,0)</f>
        <v>Brian Sarzosa</v>
      </c>
      <c r="I411" s="5" t="s">
        <v>1032</v>
      </c>
      <c r="J411" s="5"/>
      <c r="L411" s="2">
        <f t="shared" si="64"/>
        <v>46223</v>
      </c>
      <c r="M411" s="1" t="str">
        <f t="shared" ca="1" si="65"/>
        <v>CERRADO</v>
      </c>
      <c r="N411" s="5"/>
    </row>
    <row r="412" spans="1:14">
      <c r="A412" s="5">
        <f t="shared" si="45"/>
        <v>409</v>
      </c>
      <c r="B412" s="4">
        <v>46218</v>
      </c>
      <c r="C412" s="1" t="s">
        <v>16</v>
      </c>
      <c r="D412" s="14" t="s">
        <v>1116</v>
      </c>
      <c r="E412" s="5" t="s">
        <v>1097</v>
      </c>
      <c r="F412" s="5" t="s">
        <v>730</v>
      </c>
      <c r="G412" s="5" t="str">
        <f>VLOOKUP(E412,Listas!$E$2:$H$45,2,0)</f>
        <v>Mantenimiento Mecánico</v>
      </c>
      <c r="H412" s="5" t="str">
        <f>VLOOKUP(E412,Listas!$E$2:$G$45,3,0)</f>
        <v>Sebastián Balseca</v>
      </c>
      <c r="I412" s="5" t="s">
        <v>1117</v>
      </c>
      <c r="J412" s="5"/>
      <c r="L412" s="2">
        <f t="shared" si="64"/>
        <v>46223</v>
      </c>
      <c r="M412" s="1" t="str">
        <f t="shared" ca="1" si="65"/>
        <v>CERRADO</v>
      </c>
      <c r="N412" s="5"/>
    </row>
    <row r="413" spans="1:14" ht="15" customHeight="1">
      <c r="A413" s="47">
        <f t="shared" si="45"/>
        <v>410</v>
      </c>
      <c r="B413" s="46">
        <v>46218</v>
      </c>
      <c r="C413" s="37" t="s">
        <v>16</v>
      </c>
      <c r="D413" s="48" t="s">
        <v>1118</v>
      </c>
      <c r="E413" s="47" t="s">
        <v>30</v>
      </c>
      <c r="F413" s="47" t="s">
        <v>1119</v>
      </c>
      <c r="G413" s="47" t="str">
        <f>VLOOKUP(E413,Listas!$E$2:$H$45,2,0)</f>
        <v xml:space="preserve">Sistemas Metálicos </v>
      </c>
      <c r="H413" s="47" t="str">
        <f>VLOOKUP(E413,Listas!$E$2:$G$45,3,0)</f>
        <v>Pablo Velasco</v>
      </c>
      <c r="I413" s="47" t="s">
        <v>1114</v>
      </c>
      <c r="J413" s="47"/>
      <c r="K413" s="38"/>
      <c r="L413" s="38"/>
      <c r="M413" s="40" t="str">
        <f ca="1">IF(L413&lt;&gt;"","CERRADO",IF(K413&gt;TODAY(),"EN PROCESO",IF(L413="","ABIERTO")))</f>
        <v>ABIERTO</v>
      </c>
      <c r="N413" s="47"/>
    </row>
    <row r="414" spans="1:14">
      <c r="A414" s="5">
        <f t="shared" si="45"/>
        <v>411</v>
      </c>
      <c r="B414" s="4">
        <v>46219</v>
      </c>
      <c r="C414" s="1" t="s">
        <v>16</v>
      </c>
      <c r="D414" s="14" t="s">
        <v>1120</v>
      </c>
      <c r="E414" s="5" t="s">
        <v>121</v>
      </c>
      <c r="F414" s="5" t="s">
        <v>1028</v>
      </c>
      <c r="G414" s="5" t="str">
        <f>VLOOKUP(E414,Listas!$E$2:$H$45,2,0)</f>
        <v>Soldadura</v>
      </c>
      <c r="H414" s="5" t="str">
        <f>VLOOKUP(E414,Listas!$E$2:$G$45,3,0)</f>
        <v>Brian Sarzosa</v>
      </c>
      <c r="I414" s="5" t="s">
        <v>1029</v>
      </c>
      <c r="J414" s="5"/>
      <c r="L414" s="2">
        <f t="shared" ref="L414:L416" si="66">B414+5</f>
        <v>46224</v>
      </c>
      <c r="M414" s="1" t="str">
        <f t="shared" ref="M414:M416" ca="1" si="67">IF(L414&lt;TODAY(),"CERRADO","ABIERTO")</f>
        <v>CERRADO</v>
      </c>
      <c r="N414" s="5"/>
    </row>
    <row r="415" spans="1:14">
      <c r="A415" s="5">
        <f t="shared" si="45"/>
        <v>412</v>
      </c>
      <c r="B415" s="4">
        <v>46219</v>
      </c>
      <c r="C415" s="1" t="s">
        <v>16</v>
      </c>
      <c r="D415" s="14" t="s">
        <v>1102</v>
      </c>
      <c r="E415" s="5" t="s">
        <v>147</v>
      </c>
      <c r="F415" s="5" t="s">
        <v>1121</v>
      </c>
      <c r="G415" s="5" t="str">
        <f>VLOOKUP(E415,Listas!$E$2:$H$45,2,0)</f>
        <v>Paneles</v>
      </c>
      <c r="H415" s="5" t="str">
        <f>VLOOKUP(E415,Listas!$E$2:$G$45,3,0)</f>
        <v>Daniel Espinoza</v>
      </c>
      <c r="I415" s="5" t="s">
        <v>1122</v>
      </c>
      <c r="J415" s="5"/>
      <c r="L415" s="2">
        <f t="shared" si="66"/>
        <v>46224</v>
      </c>
      <c r="M415" s="1" t="str">
        <f t="shared" ca="1" si="67"/>
        <v>CERRADO</v>
      </c>
      <c r="N415" s="5"/>
    </row>
    <row r="416" spans="1:14" ht="12" customHeight="1">
      <c r="A416" s="5">
        <f t="shared" si="45"/>
        <v>413</v>
      </c>
      <c r="B416" s="4">
        <v>46219</v>
      </c>
      <c r="C416" s="1" t="s">
        <v>16</v>
      </c>
      <c r="D416" s="14" t="s">
        <v>1123</v>
      </c>
      <c r="E416" s="5" t="s">
        <v>30</v>
      </c>
      <c r="F416" s="5" t="s">
        <v>730</v>
      </c>
      <c r="G416" s="5" t="str">
        <f>VLOOKUP(E416,Listas!$E$2:$H$45,2,0)</f>
        <v xml:space="preserve">Sistemas Metálicos </v>
      </c>
      <c r="H416" s="5" t="str">
        <f>VLOOKUP(E416,Listas!$E$2:$G$45,3,0)</f>
        <v>Pablo Velasco</v>
      </c>
      <c r="I416" s="5" t="s">
        <v>989</v>
      </c>
      <c r="J416" s="5"/>
      <c r="L416" s="2">
        <f t="shared" si="66"/>
        <v>46224</v>
      </c>
      <c r="M416" s="1" t="str">
        <f t="shared" ca="1" si="67"/>
        <v>CERRADO</v>
      </c>
      <c r="N416" s="5"/>
    </row>
    <row r="417" spans="1:121" ht="9.75" customHeight="1">
      <c r="A417" s="47">
        <f t="shared" si="45"/>
        <v>414</v>
      </c>
      <c r="B417" s="46">
        <v>46220</v>
      </c>
      <c r="C417" s="37" t="s">
        <v>16</v>
      </c>
      <c r="D417" s="48" t="s">
        <v>1018</v>
      </c>
      <c r="E417" s="47" t="s">
        <v>1068</v>
      </c>
      <c r="F417" s="47" t="s">
        <v>730</v>
      </c>
      <c r="G417" s="47" t="str">
        <f>VLOOKUP(E417,Listas!$E$2:$H$45,2,0)</f>
        <v>Soldadura</v>
      </c>
      <c r="H417" s="47" t="str">
        <f>VLOOKUP(E417,Listas!$E$2:$G$45,3,0)</f>
        <v>Brian Sarzosa</v>
      </c>
      <c r="I417" s="47" t="s">
        <v>916</v>
      </c>
      <c r="J417" s="47"/>
      <c r="K417" s="38"/>
      <c r="L417" s="38"/>
      <c r="M417" s="40" t="str">
        <f ca="1">IF(L417&lt;&gt;"","CERRADO",IF(K417&gt;TODAY(),"EN PROCESO",IF(L417="","ABIERTO")))</f>
        <v>ABIERTO</v>
      </c>
      <c r="N417" s="47"/>
    </row>
    <row r="418" spans="1:121" ht="16.5" customHeight="1">
      <c r="A418" s="5">
        <f t="shared" si="45"/>
        <v>415</v>
      </c>
      <c r="B418" s="4">
        <v>46223</v>
      </c>
      <c r="C418" s="1" t="s">
        <v>16</v>
      </c>
      <c r="D418" s="14" t="s">
        <v>1027</v>
      </c>
      <c r="E418" s="5" t="s">
        <v>121</v>
      </c>
      <c r="F418" s="5" t="s">
        <v>1124</v>
      </c>
      <c r="G418" s="5" t="str">
        <f>VLOOKUP(E418,Listas!$E$2:$H$45,2,0)</f>
        <v>Soldadura</v>
      </c>
      <c r="H418" s="5" t="str">
        <f>VLOOKUP(E418,Listas!$E$2:$G$45,3,0)</f>
        <v>Brian Sarzosa</v>
      </c>
      <c r="I418" s="5" t="s">
        <v>1029</v>
      </c>
      <c r="J418" s="5"/>
      <c r="L418" s="2">
        <f>B418+5</f>
        <v>46228</v>
      </c>
      <c r="M418" s="1" t="str">
        <f t="shared" ref="M418" ca="1" si="68">IF(L418&lt;TODAY(),"CERRADO","ABIERTO")</f>
        <v>CERRADO</v>
      </c>
      <c r="N418" s="5"/>
    </row>
    <row r="419" spans="1:121" ht="25.5" customHeight="1">
      <c r="A419" s="47">
        <f>A418+1</f>
        <v>416</v>
      </c>
      <c r="B419" s="46">
        <v>46223</v>
      </c>
      <c r="C419" s="37" t="s">
        <v>16</v>
      </c>
      <c r="D419" s="48" t="s">
        <v>1125</v>
      </c>
      <c r="E419" s="47" t="s">
        <v>30</v>
      </c>
      <c r="F419" s="47" t="s">
        <v>730</v>
      </c>
      <c r="G419" s="47" t="str">
        <f>VLOOKUP(E419,Listas!$E$2:$H$45,2,0)</f>
        <v xml:space="preserve">Sistemas Metálicos </v>
      </c>
      <c r="H419" s="47" t="str">
        <f>VLOOKUP(E419,Listas!$E$2:$G$45,3,0)</f>
        <v>Pablo Velasco</v>
      </c>
      <c r="I419" s="47" t="s">
        <v>1126</v>
      </c>
      <c r="J419" s="47"/>
      <c r="K419" s="38"/>
      <c r="L419" s="38"/>
      <c r="M419" s="40" t="str">
        <f t="shared" ref="M419:M477" ca="1" si="69">IF(L419&lt;&gt;"","CERRADO",IF(K419&gt;TODAY(),"EN PROCESO",IF(L419="","ABIERTO")))</f>
        <v>ABIERTO</v>
      </c>
      <c r="N419" s="47"/>
    </row>
    <row r="420" spans="1:121" ht="22.5" customHeight="1">
      <c r="A420" s="47">
        <f t="shared" ref="A420:A428" si="70">A419+1</f>
        <v>417</v>
      </c>
      <c r="B420" s="46">
        <v>46232</v>
      </c>
      <c r="C420" s="37" t="s">
        <v>16</v>
      </c>
      <c r="D420" s="48" t="s">
        <v>1127</v>
      </c>
      <c r="E420" s="47" t="s">
        <v>30</v>
      </c>
      <c r="F420" s="47" t="s">
        <v>126</v>
      </c>
      <c r="G420" s="47" t="str">
        <f>VLOOKUP(E420,Listas!$E$2:$H$45,2,0)</f>
        <v xml:space="preserve">Sistemas Metálicos </v>
      </c>
      <c r="H420" s="47" t="str">
        <f>VLOOKUP(E420,Listas!$E$2:$G$45,3,0)</f>
        <v>Pablo Velasco</v>
      </c>
      <c r="I420" s="58" t="s">
        <v>1128</v>
      </c>
      <c r="J420" s="47"/>
      <c r="K420" s="38">
        <v>46388</v>
      </c>
      <c r="L420" s="38"/>
      <c r="M420" s="40" t="str">
        <f t="shared" ca="1" si="69"/>
        <v>EN PROCESO</v>
      </c>
      <c r="N420" s="47"/>
    </row>
    <row r="421" spans="1:121" ht="18.75" customHeight="1">
      <c r="A421" s="47">
        <f t="shared" si="70"/>
        <v>418</v>
      </c>
      <c r="B421" s="46">
        <v>46232</v>
      </c>
      <c r="C421" s="37" t="s">
        <v>16</v>
      </c>
      <c r="D421" s="48" t="s">
        <v>1030</v>
      </c>
      <c r="E421" s="47" t="s">
        <v>30</v>
      </c>
      <c r="F421" s="47" t="s">
        <v>1094</v>
      </c>
      <c r="G421" s="47" t="str">
        <f>VLOOKUP(E421,Listas!$E$2:$H$45,2,0)</f>
        <v xml:space="preserve">Sistemas Metálicos </v>
      </c>
      <c r="H421" s="47" t="str">
        <f>VLOOKUP(E421,Listas!$E$2:$G$45,3,0)</f>
        <v>Pablo Velasco</v>
      </c>
      <c r="I421" s="47" t="s">
        <v>1032</v>
      </c>
      <c r="J421" s="47"/>
      <c r="K421" s="38"/>
      <c r="L421" s="38"/>
      <c r="M421" s="40" t="str">
        <f t="shared" ca="1" si="69"/>
        <v>ABIERTO</v>
      </c>
      <c r="N421" s="47"/>
    </row>
    <row r="422" spans="1:121" ht="29.25" customHeight="1">
      <c r="A422" s="47">
        <f t="shared" si="70"/>
        <v>419</v>
      </c>
      <c r="B422" s="46">
        <v>46232</v>
      </c>
      <c r="C422" s="37" t="s">
        <v>16</v>
      </c>
      <c r="D422" s="57" t="s">
        <v>1129</v>
      </c>
      <c r="E422" s="47" t="s">
        <v>30</v>
      </c>
      <c r="F422" s="47" t="s">
        <v>1130</v>
      </c>
      <c r="G422" s="47" t="str">
        <f>VLOOKUP(E422,Listas!$E$2:$H$45,2,0)</f>
        <v xml:space="preserve">Sistemas Metálicos </v>
      </c>
      <c r="H422" s="47" t="str">
        <f>VLOOKUP(E422,Listas!$E$2:$G$45,3,0)</f>
        <v>Pablo Velasco</v>
      </c>
      <c r="I422" s="47" t="s">
        <v>1131</v>
      </c>
      <c r="J422" s="47"/>
      <c r="K422" s="38"/>
      <c r="L422" s="38"/>
      <c r="M422" s="40" t="str">
        <f t="shared" ca="1" si="69"/>
        <v>ABIERTO</v>
      </c>
      <c r="N422" s="47"/>
    </row>
    <row r="423" spans="1:121" ht="26.25" customHeight="1">
      <c r="A423" s="47">
        <f t="shared" si="70"/>
        <v>420</v>
      </c>
      <c r="B423" s="46">
        <v>46232</v>
      </c>
      <c r="C423" s="37" t="s">
        <v>16</v>
      </c>
      <c r="D423" s="48" t="s">
        <v>1132</v>
      </c>
      <c r="E423" s="47" t="s">
        <v>30</v>
      </c>
      <c r="F423" s="47" t="s">
        <v>730</v>
      </c>
      <c r="G423" s="47" t="str">
        <f>VLOOKUP(E423,Listas!$E$2:$H$45,2,0)</f>
        <v xml:space="preserve">Sistemas Metálicos </v>
      </c>
      <c r="H423" s="47" t="str">
        <f>VLOOKUP(E423,Listas!$E$2:$G$45,3,0)</f>
        <v>Pablo Velasco</v>
      </c>
      <c r="I423" s="47" t="s">
        <v>1133</v>
      </c>
      <c r="J423" s="47"/>
      <c r="K423" s="38"/>
      <c r="L423" s="38"/>
      <c r="M423" s="40" t="str">
        <f t="shared" ca="1" si="69"/>
        <v>ABIERTO</v>
      </c>
      <c r="N423" s="47"/>
    </row>
    <row r="424" spans="1:121" ht="21" customHeight="1">
      <c r="A424" s="47">
        <f t="shared" si="70"/>
        <v>421</v>
      </c>
      <c r="B424" s="46">
        <v>46232</v>
      </c>
      <c r="C424" s="37" t="s">
        <v>16</v>
      </c>
      <c r="D424" s="48" t="s">
        <v>1134</v>
      </c>
      <c r="E424" s="47" t="s">
        <v>30</v>
      </c>
      <c r="F424" s="47" t="s">
        <v>1113</v>
      </c>
      <c r="G424" s="47" t="str">
        <f>VLOOKUP(E424,Listas!$E$2:$H$45,2,0)</f>
        <v xml:space="preserve">Sistemas Metálicos </v>
      </c>
      <c r="H424" s="47" t="str">
        <f>VLOOKUP(E424,Listas!$E$2:$G$45,3,0)</f>
        <v>Pablo Velasco</v>
      </c>
      <c r="I424" s="47" t="s">
        <v>1135</v>
      </c>
      <c r="J424" s="47"/>
      <c r="K424" s="38"/>
      <c r="L424" s="38"/>
      <c r="M424" s="40" t="str">
        <f t="shared" ca="1" si="69"/>
        <v>ABIERTO</v>
      </c>
      <c r="N424" s="47"/>
    </row>
    <row r="425" spans="1:121" ht="18.75" customHeight="1">
      <c r="A425" s="47">
        <f t="shared" si="70"/>
        <v>422</v>
      </c>
      <c r="B425" s="46">
        <v>46232</v>
      </c>
      <c r="C425" s="37" t="s">
        <v>16</v>
      </c>
      <c r="D425" s="48" t="s">
        <v>1136</v>
      </c>
      <c r="E425" s="47" t="s">
        <v>30</v>
      </c>
      <c r="F425" s="47" t="s">
        <v>664</v>
      </c>
      <c r="G425" s="47" t="str">
        <f>VLOOKUP(E425,Listas!$E$2:$H$45,2,0)</f>
        <v xml:space="preserve">Sistemas Metálicos </v>
      </c>
      <c r="H425" s="47" t="str">
        <f>VLOOKUP(E425,Listas!$E$2:$G$45,3,0)</f>
        <v>Pablo Velasco</v>
      </c>
      <c r="I425" s="47" t="s">
        <v>1090</v>
      </c>
      <c r="J425" s="47"/>
      <c r="K425" s="38"/>
      <c r="L425" s="38"/>
      <c r="M425" s="40" t="str">
        <f t="shared" ca="1" si="69"/>
        <v>ABIERTO</v>
      </c>
      <c r="N425" s="47"/>
    </row>
    <row r="426" spans="1:121" ht="21.75" customHeight="1">
      <c r="A426" s="47">
        <f t="shared" si="70"/>
        <v>423</v>
      </c>
      <c r="B426" s="46">
        <v>46232</v>
      </c>
      <c r="C426" s="37" t="s">
        <v>16</v>
      </c>
      <c r="D426" s="48" t="s">
        <v>1137</v>
      </c>
      <c r="E426" s="47" t="s">
        <v>30</v>
      </c>
      <c r="F426" s="47" t="s">
        <v>664</v>
      </c>
      <c r="G426" s="47" t="str">
        <f>VLOOKUP(E426,Listas!$E$2:$H$45,2,0)</f>
        <v xml:space="preserve">Sistemas Metálicos </v>
      </c>
      <c r="H426" s="47" t="str">
        <f>VLOOKUP(E426,Listas!$E$2:$G$45,3,0)</f>
        <v>Pablo Velasco</v>
      </c>
      <c r="I426" s="47" t="s">
        <v>1138</v>
      </c>
      <c r="J426" s="47"/>
      <c r="K426" s="38"/>
      <c r="L426" s="38"/>
      <c r="M426" s="40" t="str">
        <f t="shared" ca="1" si="69"/>
        <v>ABIERTO</v>
      </c>
      <c r="N426" s="47"/>
    </row>
    <row r="427" spans="1:121" s="27" customFormat="1" ht="28.5" customHeight="1">
      <c r="A427" s="58">
        <f t="shared" si="70"/>
        <v>424</v>
      </c>
      <c r="B427" s="59">
        <v>46232</v>
      </c>
      <c r="C427" s="60" t="s">
        <v>16</v>
      </c>
      <c r="D427" s="57" t="s">
        <v>1139</v>
      </c>
      <c r="E427" s="58" t="s">
        <v>30</v>
      </c>
      <c r="F427" s="58" t="s">
        <v>126</v>
      </c>
      <c r="G427" s="58" t="str">
        <f>VLOOKUP(E427,Listas!$E$2:$H$45,2,0)</f>
        <v xml:space="preserve">Sistemas Metálicos </v>
      </c>
      <c r="H427" s="58" t="str">
        <f>VLOOKUP(E427,Listas!$E$2:$G$45,3,0)</f>
        <v>Pablo Velasco</v>
      </c>
      <c r="I427" s="58" t="s">
        <v>1029</v>
      </c>
      <c r="J427" s="58"/>
      <c r="K427" s="38"/>
      <c r="L427" s="38"/>
      <c r="M427" s="40" t="str">
        <f t="shared" ca="1" si="69"/>
        <v>ABIERTO</v>
      </c>
      <c r="N427" s="58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  <c r="CE427" s="33"/>
      <c r="CF427" s="33"/>
      <c r="CG427" s="33"/>
      <c r="CH427" s="33"/>
      <c r="CI427" s="33"/>
      <c r="CJ427" s="33"/>
      <c r="CK427" s="33"/>
      <c r="CL427" s="33"/>
      <c r="CM427" s="33"/>
      <c r="CN427" s="33"/>
      <c r="CO427" s="33"/>
      <c r="CP427" s="33"/>
      <c r="CQ427" s="33"/>
      <c r="CR427" s="33"/>
      <c r="CS427" s="33"/>
      <c r="CT427" s="33"/>
      <c r="CU427" s="33"/>
      <c r="CV427" s="33"/>
      <c r="CW427" s="33"/>
      <c r="CX427" s="33"/>
      <c r="CY427" s="33"/>
      <c r="CZ427" s="33"/>
      <c r="DA427" s="33"/>
      <c r="DB427" s="33"/>
      <c r="DC427" s="33"/>
      <c r="DD427" s="33"/>
      <c r="DE427" s="33"/>
      <c r="DF427" s="33"/>
      <c r="DG427" s="33"/>
      <c r="DH427" s="33"/>
      <c r="DI427" s="33"/>
      <c r="DJ427" s="33"/>
      <c r="DK427" s="33"/>
      <c r="DL427" s="33"/>
      <c r="DM427" s="33"/>
      <c r="DN427" s="33"/>
      <c r="DO427" s="33"/>
      <c r="DP427" s="33"/>
      <c r="DQ427" s="33"/>
    </row>
    <row r="428" spans="1:121" ht="28.5" customHeight="1">
      <c r="A428" s="47">
        <f t="shared" si="70"/>
        <v>425</v>
      </c>
      <c r="B428" s="46">
        <v>46232</v>
      </c>
      <c r="C428" s="37" t="s">
        <v>16</v>
      </c>
      <c r="D428" s="57" t="s">
        <v>1140</v>
      </c>
      <c r="E428" s="47" t="s">
        <v>1141</v>
      </c>
      <c r="F428" s="47" t="s">
        <v>1130</v>
      </c>
      <c r="G428" s="47" t="str">
        <f>VLOOKUP(E428,Listas!$E$2:$H$45,2,0)</f>
        <v>Corte &amp; Conformado</v>
      </c>
      <c r="H428" s="47" t="str">
        <f>VLOOKUP(E428,Listas!$E$2:$G$45,3,0)</f>
        <v>Pablo Velasco</v>
      </c>
      <c r="I428" s="47" t="s">
        <v>1142</v>
      </c>
      <c r="J428" s="47"/>
      <c r="K428" s="38"/>
      <c r="L428" s="38"/>
      <c r="M428" s="40" t="str">
        <f t="shared" ca="1" si="69"/>
        <v>ABIERTO</v>
      </c>
      <c r="N428" s="47"/>
    </row>
    <row r="429" spans="1:121" ht="21.75" customHeight="1">
      <c r="A429" s="47">
        <f t="shared" ref="A429:A477" si="71">A428+1</f>
        <v>426</v>
      </c>
      <c r="B429" s="46">
        <v>46232</v>
      </c>
      <c r="C429" s="37" t="s">
        <v>16</v>
      </c>
      <c r="D429" s="48" t="s">
        <v>1143</v>
      </c>
      <c r="E429" s="47" t="s">
        <v>1031</v>
      </c>
      <c r="F429" s="47" t="s">
        <v>1094</v>
      </c>
      <c r="G429" s="42" t="s">
        <v>1012</v>
      </c>
      <c r="H429" s="47" t="str">
        <f>VLOOKUP(E429,Listas!$E$2:$G$45,3,0)</f>
        <v>Edison Lema</v>
      </c>
      <c r="I429" s="47" t="s">
        <v>1144</v>
      </c>
      <c r="J429" s="47"/>
      <c r="K429" s="38"/>
      <c r="L429" s="38"/>
      <c r="M429" s="40" t="str">
        <f t="shared" ca="1" si="69"/>
        <v>ABIERTO</v>
      </c>
      <c r="N429" s="47"/>
    </row>
    <row r="430" spans="1:121" ht="30.75" customHeight="1">
      <c r="A430" s="47">
        <f t="shared" si="71"/>
        <v>427</v>
      </c>
      <c r="B430" s="46">
        <v>46232</v>
      </c>
      <c r="C430" s="37" t="s">
        <v>16</v>
      </c>
      <c r="D430" s="48" t="s">
        <v>1145</v>
      </c>
      <c r="E430" s="47" t="s">
        <v>1031</v>
      </c>
      <c r="F430" s="47" t="s">
        <v>1146</v>
      </c>
      <c r="G430" s="42" t="s">
        <v>1012</v>
      </c>
      <c r="H430" s="47" t="str">
        <f>VLOOKUP(E430,Listas!$E$2:$G$45,3,0)</f>
        <v>Edison Lema</v>
      </c>
      <c r="I430" s="47" t="s">
        <v>1090</v>
      </c>
      <c r="J430" s="47"/>
      <c r="K430" s="38"/>
      <c r="L430" s="38"/>
      <c r="M430" s="40" t="str">
        <f t="shared" ca="1" si="69"/>
        <v>ABIERTO</v>
      </c>
      <c r="N430" s="47"/>
    </row>
    <row r="431" spans="1:121" ht="15.75" customHeight="1">
      <c r="A431" s="47">
        <f t="shared" si="71"/>
        <v>428</v>
      </c>
      <c r="B431" s="46">
        <v>46232</v>
      </c>
      <c r="C431" s="37" t="s">
        <v>16</v>
      </c>
      <c r="D431" s="57" t="s">
        <v>1147</v>
      </c>
      <c r="E431" s="47" t="s">
        <v>1031</v>
      </c>
      <c r="F431" s="47" t="s">
        <v>1148</v>
      </c>
      <c r="G431" s="42" t="s">
        <v>1012</v>
      </c>
      <c r="H431" s="47" t="str">
        <f>VLOOKUP(E431,Listas!$E$2:$G$45,3,0)</f>
        <v>Edison Lema</v>
      </c>
      <c r="I431" s="47" t="s">
        <v>1149</v>
      </c>
      <c r="J431" s="47"/>
      <c r="K431" s="38"/>
      <c r="L431" s="38"/>
      <c r="M431" s="40" t="str">
        <f t="shared" ca="1" si="69"/>
        <v>ABIERTO</v>
      </c>
      <c r="N431" s="47"/>
    </row>
    <row r="432" spans="1:121" ht="20.25" customHeight="1">
      <c r="A432" s="47">
        <f t="shared" si="71"/>
        <v>429</v>
      </c>
      <c r="B432" s="46">
        <v>46232</v>
      </c>
      <c r="C432" s="37" t="s">
        <v>16</v>
      </c>
      <c r="D432" s="48" t="s">
        <v>1150</v>
      </c>
      <c r="E432" s="47" t="s">
        <v>121</v>
      </c>
      <c r="F432" s="47" t="s">
        <v>1064</v>
      </c>
      <c r="G432" s="47" t="str">
        <f>VLOOKUP(E432,Listas!$E$2:$H$45,2,0)</f>
        <v>Soldadura</v>
      </c>
      <c r="H432" s="47" t="str">
        <f>VLOOKUP(E432,Listas!$E$2:$G$45,3,0)</f>
        <v>Brian Sarzosa</v>
      </c>
      <c r="I432" s="47" t="s">
        <v>1151</v>
      </c>
      <c r="J432" s="47"/>
      <c r="K432" s="38"/>
      <c r="L432" s="38"/>
      <c r="M432" s="40" t="str">
        <f t="shared" ca="1" si="69"/>
        <v>ABIERTO</v>
      </c>
      <c r="N432" s="47"/>
    </row>
    <row r="433" spans="1:14" ht="21" customHeight="1">
      <c r="A433" s="47">
        <f t="shared" si="71"/>
        <v>430</v>
      </c>
      <c r="B433" s="46">
        <v>46232</v>
      </c>
      <c r="C433" s="37" t="s">
        <v>16</v>
      </c>
      <c r="D433" s="48" t="s">
        <v>1152</v>
      </c>
      <c r="E433" s="47" t="s">
        <v>121</v>
      </c>
      <c r="F433" s="47" t="s">
        <v>1153</v>
      </c>
      <c r="G433" s="47" t="str">
        <f>VLOOKUP(E433,Listas!$E$2:$H$45,2,0)</f>
        <v>Soldadura</v>
      </c>
      <c r="H433" s="47" t="str">
        <f>VLOOKUP(E433,Listas!$E$2:$G$45,3,0)</f>
        <v>Brian Sarzosa</v>
      </c>
      <c r="I433" s="47" t="s">
        <v>1154</v>
      </c>
      <c r="J433" s="47"/>
      <c r="K433" s="38"/>
      <c r="L433" s="38"/>
      <c r="M433" s="40" t="str">
        <f t="shared" ca="1" si="69"/>
        <v>ABIERTO</v>
      </c>
      <c r="N433" s="47"/>
    </row>
    <row r="434" spans="1:14" ht="17.25" customHeight="1">
      <c r="A434" s="47">
        <f t="shared" si="71"/>
        <v>431</v>
      </c>
      <c r="B434" s="46">
        <v>46232</v>
      </c>
      <c r="C434" s="37" t="s">
        <v>16</v>
      </c>
      <c r="D434" s="48" t="s">
        <v>1155</v>
      </c>
      <c r="E434" s="47" t="s">
        <v>121</v>
      </c>
      <c r="F434" s="47" t="s">
        <v>1064</v>
      </c>
      <c r="G434" s="47" t="str">
        <f>VLOOKUP(E434,Listas!$E$2:$H$45,2,0)</f>
        <v>Soldadura</v>
      </c>
      <c r="H434" s="47" t="str">
        <f>VLOOKUP(E434,Listas!$E$2:$G$45,3,0)</f>
        <v>Brian Sarzosa</v>
      </c>
      <c r="I434" s="47" t="s">
        <v>1092</v>
      </c>
      <c r="J434" s="47"/>
      <c r="K434" s="38"/>
      <c r="L434" s="38"/>
      <c r="M434" s="40" t="str">
        <f t="shared" ca="1" si="69"/>
        <v>ABIERTO</v>
      </c>
      <c r="N434" s="47"/>
    </row>
    <row r="435" spans="1:14" ht="17.25" customHeight="1">
      <c r="A435" s="47">
        <f t="shared" si="71"/>
        <v>432</v>
      </c>
      <c r="B435" s="46">
        <v>46232</v>
      </c>
      <c r="C435" s="37" t="s">
        <v>16</v>
      </c>
      <c r="D435" s="48" t="s">
        <v>1018</v>
      </c>
      <c r="E435" s="47" t="s">
        <v>121</v>
      </c>
      <c r="F435" s="47" t="s">
        <v>1077</v>
      </c>
      <c r="G435" s="47" t="str">
        <f>VLOOKUP(E435,Listas!$E$2:$H$45,2,0)</f>
        <v>Soldadura</v>
      </c>
      <c r="H435" s="47" t="str">
        <f>VLOOKUP(E435,Listas!$E$2:$G$45,3,0)</f>
        <v>Brian Sarzosa</v>
      </c>
      <c r="I435" s="47" t="s">
        <v>916</v>
      </c>
      <c r="J435" s="47"/>
      <c r="K435" s="38"/>
      <c r="L435" s="38"/>
      <c r="M435" s="40" t="str">
        <f t="shared" ca="1" si="69"/>
        <v>ABIERTO</v>
      </c>
      <c r="N435" s="47"/>
    </row>
    <row r="436" spans="1:14" ht="15" customHeight="1">
      <c r="A436" s="47">
        <f t="shared" si="71"/>
        <v>433</v>
      </c>
      <c r="B436" s="46">
        <v>46232</v>
      </c>
      <c r="C436" s="37" t="s">
        <v>16</v>
      </c>
      <c r="D436" s="48" t="s">
        <v>1143</v>
      </c>
      <c r="E436" s="47" t="s">
        <v>121</v>
      </c>
      <c r="F436" s="47" t="s">
        <v>1094</v>
      </c>
      <c r="G436" s="47" t="str">
        <f>VLOOKUP(E436,Listas!$E$2:$H$45,2,0)</f>
        <v>Soldadura</v>
      </c>
      <c r="H436" s="47" t="str">
        <f>VLOOKUP(E436,Listas!$E$2:$G$45,3,0)</f>
        <v>Brian Sarzosa</v>
      </c>
      <c r="I436" s="47" t="s">
        <v>1144</v>
      </c>
      <c r="J436" s="47"/>
      <c r="K436" s="38"/>
      <c r="L436" s="38"/>
      <c r="M436" s="40" t="str">
        <f t="shared" ca="1" si="69"/>
        <v>ABIERTO</v>
      </c>
      <c r="N436" s="47"/>
    </row>
    <row r="437" spans="1:14" ht="19.5" customHeight="1">
      <c r="A437" s="47">
        <f t="shared" si="71"/>
        <v>434</v>
      </c>
      <c r="B437" s="46">
        <v>46232</v>
      </c>
      <c r="C437" s="37" t="s">
        <v>16</v>
      </c>
      <c r="D437" s="48" t="s">
        <v>1156</v>
      </c>
      <c r="E437" s="47" t="s">
        <v>121</v>
      </c>
      <c r="F437" s="47" t="s">
        <v>126</v>
      </c>
      <c r="G437" s="47" t="str">
        <f>VLOOKUP(E437,Listas!$E$2:$H$45,2,0)</f>
        <v>Soldadura</v>
      </c>
      <c r="H437" s="47" t="str">
        <f>VLOOKUP(E437,Listas!$E$2:$G$45,3,0)</f>
        <v>Brian Sarzosa</v>
      </c>
      <c r="I437" s="47" t="s">
        <v>1138</v>
      </c>
      <c r="J437" s="47"/>
      <c r="K437" s="38"/>
      <c r="L437" s="38"/>
      <c r="M437" s="40" t="str">
        <f t="shared" ca="1" si="69"/>
        <v>ABIERTO</v>
      </c>
      <c r="N437" s="47"/>
    </row>
    <row r="438" spans="1:14" ht="21" customHeight="1">
      <c r="A438" s="47">
        <f t="shared" si="71"/>
        <v>435</v>
      </c>
      <c r="B438" s="46">
        <v>46232</v>
      </c>
      <c r="C438" s="37" t="s">
        <v>16</v>
      </c>
      <c r="D438" s="48" t="s">
        <v>1157</v>
      </c>
      <c r="E438" s="47" t="s">
        <v>121</v>
      </c>
      <c r="F438" s="47" t="s">
        <v>1028</v>
      </c>
      <c r="G438" s="47" t="str">
        <f>VLOOKUP(E438,Listas!$E$2:$H$45,2,0)</f>
        <v>Soldadura</v>
      </c>
      <c r="H438" s="47" t="str">
        <f>VLOOKUP(E438,Listas!$E$2:$G$45,3,0)</f>
        <v>Brian Sarzosa</v>
      </c>
      <c r="I438" s="47" t="s">
        <v>1158</v>
      </c>
      <c r="J438" s="47"/>
      <c r="K438" s="38"/>
      <c r="L438" s="38"/>
      <c r="M438" s="40" t="str">
        <f t="shared" ca="1" si="69"/>
        <v>ABIERTO</v>
      </c>
      <c r="N438" s="47"/>
    </row>
    <row r="439" spans="1:14" ht="23.25" customHeight="1">
      <c r="A439" s="47">
        <f t="shared" si="71"/>
        <v>436</v>
      </c>
      <c r="B439" s="46">
        <v>46232</v>
      </c>
      <c r="C439" s="37" t="s">
        <v>16</v>
      </c>
      <c r="D439" s="48" t="s">
        <v>1143</v>
      </c>
      <c r="E439" s="47" t="s">
        <v>152</v>
      </c>
      <c r="F439" s="47" t="s">
        <v>1094</v>
      </c>
      <c r="G439" s="47" t="str">
        <f>VLOOKUP(E439,Listas!$E$2:$H$45,2,0)</f>
        <v>Viales</v>
      </c>
      <c r="H439" s="47" t="str">
        <f>VLOOKUP(E439,Listas!$E$2:$G$45,3,0)</f>
        <v>Mario Guaman</v>
      </c>
      <c r="I439" s="47" t="s">
        <v>1144</v>
      </c>
      <c r="J439" s="47"/>
      <c r="K439" s="38"/>
      <c r="L439" s="38"/>
      <c r="M439" s="40" t="str">
        <f t="shared" ca="1" si="69"/>
        <v>ABIERTO</v>
      </c>
      <c r="N439" s="47"/>
    </row>
    <row r="440" spans="1:14" ht="19.5" customHeight="1">
      <c r="A440" s="47">
        <f t="shared" si="71"/>
        <v>437</v>
      </c>
      <c r="B440" s="46">
        <v>46232</v>
      </c>
      <c r="C440" s="37" t="s">
        <v>16</v>
      </c>
      <c r="D440" s="48" t="s">
        <v>1159</v>
      </c>
      <c r="E440" s="47" t="s">
        <v>152</v>
      </c>
      <c r="F440" s="47" t="s">
        <v>1094</v>
      </c>
      <c r="G440" s="47" t="str">
        <f>VLOOKUP(E440,Listas!$E$2:$H$45,2,0)</f>
        <v>Viales</v>
      </c>
      <c r="H440" s="47" t="str">
        <f>VLOOKUP(E440,Listas!$E$2:$G$45,3,0)</f>
        <v>Mario Guaman</v>
      </c>
      <c r="I440" s="47" t="s">
        <v>1160</v>
      </c>
      <c r="J440" s="47"/>
      <c r="K440" s="38"/>
      <c r="L440" s="38"/>
      <c r="M440" s="40" t="str">
        <f t="shared" ca="1" si="69"/>
        <v>ABIERTO</v>
      </c>
      <c r="N440" s="47"/>
    </row>
    <row r="441" spans="1:14" ht="19.5" customHeight="1">
      <c r="A441" s="47">
        <f t="shared" si="71"/>
        <v>438</v>
      </c>
      <c r="B441" s="46">
        <v>46232</v>
      </c>
      <c r="C441" s="37" t="s">
        <v>16</v>
      </c>
      <c r="D441" s="48" t="s">
        <v>1139</v>
      </c>
      <c r="E441" s="47" t="s">
        <v>152</v>
      </c>
      <c r="F441" s="47" t="s">
        <v>1161</v>
      </c>
      <c r="G441" s="47" t="str">
        <f>VLOOKUP(E441,Listas!$E$2:$H$45,2,0)</f>
        <v>Viales</v>
      </c>
      <c r="H441" s="47" t="str">
        <f>VLOOKUP(E441,Listas!$E$2:$G$45,3,0)</f>
        <v>Mario Guaman</v>
      </c>
      <c r="I441" s="47" t="s">
        <v>1029</v>
      </c>
      <c r="J441" s="47"/>
      <c r="K441" s="38"/>
      <c r="L441" s="38"/>
      <c r="M441" s="40" t="str">
        <f t="shared" ca="1" si="69"/>
        <v>ABIERTO</v>
      </c>
      <c r="N441" s="47"/>
    </row>
    <row r="442" spans="1:14" ht="15" customHeight="1">
      <c r="A442" s="47">
        <f t="shared" si="71"/>
        <v>439</v>
      </c>
      <c r="B442" s="46">
        <v>46232</v>
      </c>
      <c r="C442" s="37" t="s">
        <v>16</v>
      </c>
      <c r="D442" s="48" t="s">
        <v>1140</v>
      </c>
      <c r="E442" s="47" t="s">
        <v>152</v>
      </c>
      <c r="F442" s="47" t="s">
        <v>1130</v>
      </c>
      <c r="G442" s="47" t="str">
        <f>VLOOKUP(E442,Listas!$E$2:$H$45,2,0)</f>
        <v>Viales</v>
      </c>
      <c r="H442" s="47" t="str">
        <f>VLOOKUP(E442,Listas!$E$2:$G$45,3,0)</f>
        <v>Mario Guaman</v>
      </c>
      <c r="I442" s="47" t="s">
        <v>1162</v>
      </c>
      <c r="J442" s="47"/>
      <c r="K442" s="38"/>
      <c r="L442" s="38"/>
      <c r="M442" s="40" t="str">
        <f t="shared" ca="1" si="69"/>
        <v>ABIERTO</v>
      </c>
      <c r="N442" s="47"/>
    </row>
    <row r="443" spans="1:14" ht="21.75" customHeight="1">
      <c r="A443" s="47">
        <f t="shared" si="71"/>
        <v>440</v>
      </c>
      <c r="B443" s="46">
        <v>46232</v>
      </c>
      <c r="C443" s="37" t="s">
        <v>16</v>
      </c>
      <c r="D443" s="48" t="s">
        <v>1163</v>
      </c>
      <c r="E443" s="47" t="s">
        <v>152</v>
      </c>
      <c r="F443" s="47" t="s">
        <v>664</v>
      </c>
      <c r="G443" s="47" t="str">
        <f>VLOOKUP(E443,Listas!$E$2:$H$45,2,0)</f>
        <v>Viales</v>
      </c>
      <c r="H443" s="47" t="str">
        <f>VLOOKUP(E443,Listas!$E$2:$G$45,3,0)</f>
        <v>Mario Guaman</v>
      </c>
      <c r="I443" s="47" t="s">
        <v>1164</v>
      </c>
      <c r="J443" s="47"/>
      <c r="K443" s="38"/>
      <c r="L443" s="38"/>
      <c r="M443" s="40" t="str">
        <f t="shared" ca="1" si="69"/>
        <v>ABIERTO</v>
      </c>
      <c r="N443" s="47"/>
    </row>
    <row r="444" spans="1:14" ht="22.5" customHeight="1">
      <c r="A444" s="47">
        <f t="shared" si="71"/>
        <v>441</v>
      </c>
      <c r="B444" s="46">
        <v>46232</v>
      </c>
      <c r="C444" s="37" t="s">
        <v>16</v>
      </c>
      <c r="D444" s="48" t="s">
        <v>1165</v>
      </c>
      <c r="E444" s="47" t="s">
        <v>152</v>
      </c>
      <c r="F444" s="47" t="s">
        <v>1124</v>
      </c>
      <c r="G444" s="47" t="str">
        <f>VLOOKUP(E444,Listas!$E$2:$H$45,2,0)</f>
        <v>Viales</v>
      </c>
      <c r="H444" s="47" t="str">
        <f>VLOOKUP(E444,Listas!$E$2:$G$45,3,0)</f>
        <v>Mario Guaman</v>
      </c>
      <c r="I444" s="47" t="s">
        <v>1164</v>
      </c>
      <c r="J444" s="47"/>
      <c r="K444" s="38"/>
      <c r="L444" s="38"/>
      <c r="M444" s="40" t="str">
        <f t="shared" ca="1" si="69"/>
        <v>ABIERTO</v>
      </c>
      <c r="N444" s="47"/>
    </row>
    <row r="445" spans="1:14" ht="21.75" customHeight="1">
      <c r="A445" s="47">
        <f t="shared" si="71"/>
        <v>442</v>
      </c>
      <c r="B445" s="46">
        <v>46232</v>
      </c>
      <c r="C445" s="37" t="s">
        <v>16</v>
      </c>
      <c r="D445" s="48" t="s">
        <v>1166</v>
      </c>
      <c r="E445" s="47" t="s">
        <v>152</v>
      </c>
      <c r="F445" s="47" t="s">
        <v>1094</v>
      </c>
      <c r="G445" s="47" t="str">
        <f>VLOOKUP(E445,Listas!$E$2:$H$45,2,0)</f>
        <v>Viales</v>
      </c>
      <c r="H445" s="47" t="str">
        <f>VLOOKUP(E445,Listas!$E$2:$G$45,3,0)</f>
        <v>Mario Guaman</v>
      </c>
      <c r="I445" s="47" t="s">
        <v>1090</v>
      </c>
      <c r="J445" s="47"/>
      <c r="K445" s="38"/>
      <c r="L445" s="38"/>
      <c r="M445" s="40" t="str">
        <f t="shared" ca="1" si="69"/>
        <v>ABIERTO</v>
      </c>
      <c r="N445" s="47"/>
    </row>
    <row r="446" spans="1:14" ht="22.5" customHeight="1">
      <c r="A446" s="47">
        <f t="shared" si="71"/>
        <v>443</v>
      </c>
      <c r="B446" s="46">
        <v>46232</v>
      </c>
      <c r="C446" s="37" t="s">
        <v>16</v>
      </c>
      <c r="D446" s="57" t="s">
        <v>1167</v>
      </c>
      <c r="E446" s="47" t="s">
        <v>152</v>
      </c>
      <c r="F446" s="47" t="s">
        <v>1161</v>
      </c>
      <c r="G446" s="47" t="str">
        <f>VLOOKUP(E446,Listas!$E$2:$H$45,2,0)</f>
        <v>Viales</v>
      </c>
      <c r="H446" s="47" t="str">
        <f>VLOOKUP(E446,Listas!$E$2:$G$45,3,0)</f>
        <v>Mario Guaman</v>
      </c>
      <c r="I446" s="47" t="s">
        <v>1168</v>
      </c>
      <c r="J446" s="47"/>
      <c r="K446" s="38"/>
      <c r="L446" s="38"/>
      <c r="M446" s="40" t="str">
        <f t="shared" ca="1" si="69"/>
        <v>ABIERTO</v>
      </c>
      <c r="N446" s="47"/>
    </row>
    <row r="447" spans="1:14" ht="28.5" customHeight="1">
      <c r="A447" s="47">
        <f t="shared" si="71"/>
        <v>444</v>
      </c>
      <c r="B447" s="46">
        <v>46232</v>
      </c>
      <c r="C447" s="37" t="s">
        <v>16</v>
      </c>
      <c r="D447" s="48" t="s">
        <v>1018</v>
      </c>
      <c r="E447" s="47" t="s">
        <v>152</v>
      </c>
      <c r="F447" s="47" t="s">
        <v>1077</v>
      </c>
      <c r="G447" s="47" t="str">
        <f>VLOOKUP(E447,Listas!$E$2:$H$45,2,0)</f>
        <v>Viales</v>
      </c>
      <c r="H447" s="47" t="str">
        <f>VLOOKUP(E447,Listas!$E$2:$G$45,3,0)</f>
        <v>Mario Guaman</v>
      </c>
      <c r="I447" s="47" t="s">
        <v>916</v>
      </c>
      <c r="J447" s="47"/>
      <c r="K447" s="38"/>
      <c r="L447" s="38"/>
      <c r="M447" s="40" t="str">
        <f t="shared" ca="1" si="69"/>
        <v>ABIERTO</v>
      </c>
      <c r="N447" s="47"/>
    </row>
    <row r="448" spans="1:14" ht="22.5" customHeight="1">
      <c r="A448" s="47">
        <f t="shared" si="71"/>
        <v>445</v>
      </c>
      <c r="B448" s="46">
        <v>46232</v>
      </c>
      <c r="C448" s="37" t="s">
        <v>16</v>
      </c>
      <c r="D448" s="48" t="s">
        <v>1169</v>
      </c>
      <c r="E448" s="47" t="s">
        <v>152</v>
      </c>
      <c r="F448" s="47" t="s">
        <v>1161</v>
      </c>
      <c r="G448" s="47" t="str">
        <f>VLOOKUP(E448,Listas!$E$2:$H$45,2,0)</f>
        <v>Viales</v>
      </c>
      <c r="H448" s="47" t="str">
        <f>VLOOKUP(E448,Listas!$E$2:$G$45,3,0)</f>
        <v>Mario Guaman</v>
      </c>
      <c r="I448" s="47" t="s">
        <v>1170</v>
      </c>
      <c r="J448" s="47"/>
      <c r="K448" s="38"/>
      <c r="L448" s="38"/>
      <c r="M448" s="40" t="str">
        <f t="shared" ca="1" si="69"/>
        <v>ABIERTO</v>
      </c>
      <c r="N448" s="47"/>
    </row>
    <row r="449" spans="1:14" ht="21.75" customHeight="1">
      <c r="A449" s="47">
        <f t="shared" si="71"/>
        <v>446</v>
      </c>
      <c r="B449" s="46">
        <v>46232</v>
      </c>
      <c r="C449" s="37" t="s">
        <v>16</v>
      </c>
      <c r="D449" s="57" t="s">
        <v>1171</v>
      </c>
      <c r="E449" s="47" t="s">
        <v>1172</v>
      </c>
      <c r="F449" s="47" t="s">
        <v>678</v>
      </c>
      <c r="G449" s="47" t="str">
        <f>VLOOKUP(E449,Listas!$E$2:$H$60,2,0)</f>
        <v>Viales</v>
      </c>
      <c r="H449" s="47" t="str">
        <f>VLOOKUP(E449,Listas!$E$2:$G$60,3,0)</f>
        <v>Mario Guaman</v>
      </c>
      <c r="I449" s="47" t="s">
        <v>1173</v>
      </c>
      <c r="J449" s="47"/>
      <c r="K449" s="38"/>
      <c r="L449" s="38"/>
      <c r="M449" s="40" t="str">
        <f t="shared" ca="1" si="69"/>
        <v>ABIERTO</v>
      </c>
      <c r="N449" s="47"/>
    </row>
    <row r="450" spans="1:14" ht="19.5" customHeight="1">
      <c r="A450" s="47">
        <f t="shared" si="71"/>
        <v>447</v>
      </c>
      <c r="B450" s="46">
        <v>46232</v>
      </c>
      <c r="C450" s="37" t="s">
        <v>16</v>
      </c>
      <c r="D450" s="48" t="s">
        <v>1174</v>
      </c>
      <c r="E450" s="47" t="s">
        <v>152</v>
      </c>
      <c r="F450" s="47" t="s">
        <v>83</v>
      </c>
      <c r="G450" s="47" t="str">
        <f>VLOOKUP(E450,Listas!$E$2:$H$45,2,0)</f>
        <v>Viales</v>
      </c>
      <c r="H450" s="47" t="str">
        <f>VLOOKUP(E450,Listas!$E$2:$G$45,3,0)</f>
        <v>Mario Guaman</v>
      </c>
      <c r="I450" s="47" t="s">
        <v>1175</v>
      </c>
      <c r="J450" s="47"/>
      <c r="K450" s="38"/>
      <c r="L450" s="38"/>
      <c r="M450" s="40" t="str">
        <f t="shared" ca="1" si="69"/>
        <v>ABIERTO</v>
      </c>
      <c r="N450" s="47"/>
    </row>
    <row r="451" spans="1:14">
      <c r="A451" s="47">
        <f t="shared" si="71"/>
        <v>448</v>
      </c>
      <c r="B451" s="46">
        <v>46232</v>
      </c>
      <c r="C451" s="37" t="s">
        <v>16</v>
      </c>
      <c r="D451" s="57" t="s">
        <v>1176</v>
      </c>
      <c r="E451" s="47" t="s">
        <v>152</v>
      </c>
      <c r="F451" s="47" t="s">
        <v>1094</v>
      </c>
      <c r="G451" s="47" t="str">
        <f>VLOOKUP(E451,Listas!$E$2:$H$45,2,0)</f>
        <v>Viales</v>
      </c>
      <c r="H451" s="47" t="str">
        <f>VLOOKUP(E451,Listas!$E$2:$G$45,3,0)</f>
        <v>Mario Guaman</v>
      </c>
      <c r="I451" s="47" t="s">
        <v>1177</v>
      </c>
      <c r="J451" s="47"/>
      <c r="K451" s="38">
        <v>46233</v>
      </c>
      <c r="L451" s="38">
        <v>46233</v>
      </c>
      <c r="M451" s="40" t="str">
        <f t="shared" ca="1" si="69"/>
        <v>CERRADO</v>
      </c>
      <c r="N451" s="47"/>
    </row>
    <row r="452" spans="1:14">
      <c r="A452" s="47">
        <f t="shared" si="71"/>
        <v>449</v>
      </c>
      <c r="B452" s="46">
        <v>46232</v>
      </c>
      <c r="C452" s="37" t="s">
        <v>16</v>
      </c>
      <c r="D452" s="48" t="s">
        <v>1178</v>
      </c>
      <c r="E452" s="47" t="s">
        <v>152</v>
      </c>
      <c r="F452" s="47" t="s">
        <v>1153</v>
      </c>
      <c r="G452" s="47" t="str">
        <f>VLOOKUP(E452,Listas!$E$2:$H$45,2,0)</f>
        <v>Viales</v>
      </c>
      <c r="H452" s="47" t="str">
        <f>VLOOKUP(E452,Listas!$E$2:$G$45,3,0)</f>
        <v>Mario Guaman</v>
      </c>
      <c r="I452" s="47" t="s">
        <v>1179</v>
      </c>
      <c r="J452" s="47"/>
      <c r="K452" s="38"/>
      <c r="L452" s="38"/>
      <c r="M452" s="40" t="str">
        <f t="shared" ca="1" si="69"/>
        <v>ABIERTO</v>
      </c>
      <c r="N452" s="47"/>
    </row>
    <row r="453" spans="1:14" ht="28.8">
      <c r="A453" s="47">
        <f t="shared" si="71"/>
        <v>450</v>
      </c>
      <c r="B453" s="46">
        <v>46232</v>
      </c>
      <c r="C453" s="37" t="s">
        <v>16</v>
      </c>
      <c r="D453" s="48" t="s">
        <v>1163</v>
      </c>
      <c r="E453" s="47" t="s">
        <v>152</v>
      </c>
      <c r="F453" s="47" t="s">
        <v>664</v>
      </c>
      <c r="G453" s="47" t="str">
        <f>VLOOKUP(E453,Listas!$E$2:$H$45,2,0)</f>
        <v>Viales</v>
      </c>
      <c r="H453" s="47" t="str">
        <f>VLOOKUP(E453,Listas!$E$2:$G$45,3,0)</f>
        <v>Mario Guaman</v>
      </c>
      <c r="I453" s="47" t="s">
        <v>1164</v>
      </c>
      <c r="J453" s="47"/>
      <c r="K453" s="38">
        <v>46388</v>
      </c>
      <c r="L453" s="38"/>
      <c r="M453" s="40" t="str">
        <f t="shared" ca="1" si="69"/>
        <v>EN PROCESO</v>
      </c>
      <c r="N453" s="47"/>
    </row>
    <row r="454" spans="1:14" ht="28.8">
      <c r="A454" s="47">
        <f t="shared" si="71"/>
        <v>451</v>
      </c>
      <c r="B454" s="46">
        <v>46232</v>
      </c>
      <c r="C454" s="37" t="s">
        <v>16</v>
      </c>
      <c r="D454" s="57" t="s">
        <v>1180</v>
      </c>
      <c r="E454" s="47" t="s">
        <v>1076</v>
      </c>
      <c r="F454" s="47" t="s">
        <v>1028</v>
      </c>
      <c r="G454" s="47" t="str">
        <f>VLOOKUP(E454,Listas!$E$2:$H$45,2,0)</f>
        <v>Soldadura</v>
      </c>
      <c r="H454" s="47" t="str">
        <f>VLOOKUP(E454,Listas!$E$2:$G$45,3,0)</f>
        <v>Brian Sarzosa</v>
      </c>
      <c r="I454" s="47" t="s">
        <v>1181</v>
      </c>
      <c r="J454" s="47"/>
      <c r="K454" s="38"/>
      <c r="L454" s="38"/>
      <c r="M454" s="40" t="str">
        <f t="shared" ca="1" si="69"/>
        <v>ABIERTO</v>
      </c>
      <c r="N454" s="47"/>
    </row>
    <row r="455" spans="1:14" ht="43.2">
      <c r="A455" s="47">
        <f t="shared" si="71"/>
        <v>452</v>
      </c>
      <c r="B455" s="46">
        <v>46232</v>
      </c>
      <c r="C455" s="37" t="s">
        <v>24</v>
      </c>
      <c r="D455" s="57" t="s">
        <v>1182</v>
      </c>
      <c r="E455" s="47" t="s">
        <v>1031</v>
      </c>
      <c r="F455" s="47" t="s">
        <v>1034</v>
      </c>
      <c r="G455" s="42" t="s">
        <v>1012</v>
      </c>
      <c r="H455" s="47" t="str">
        <f>VLOOKUP(E455,Listas!$E$2:$G$45,3,0)</f>
        <v>Edison Lema</v>
      </c>
      <c r="I455" s="47" t="s">
        <v>1183</v>
      </c>
      <c r="J455" s="47"/>
      <c r="K455" s="38"/>
      <c r="L455" s="38"/>
      <c r="M455" s="40" t="str">
        <f t="shared" ca="1" si="69"/>
        <v>ABIERTO</v>
      </c>
      <c r="N455" s="47"/>
    </row>
    <row r="456" spans="1:14" ht="28.8">
      <c r="A456" s="47">
        <f t="shared" si="71"/>
        <v>453</v>
      </c>
      <c r="B456" s="46">
        <v>46233</v>
      </c>
      <c r="C456" s="37" t="s">
        <v>16</v>
      </c>
      <c r="D456" s="48" t="s">
        <v>1184</v>
      </c>
      <c r="E456" s="47" t="s">
        <v>1185</v>
      </c>
      <c r="F456" s="47" t="s">
        <v>1186</v>
      </c>
      <c r="G456" s="47" t="str">
        <f>VLOOKUP(E456,Listas!$E$2:$H$45,2,0)</f>
        <v xml:space="preserve">Compras </v>
      </c>
      <c r="H456" s="47" t="str">
        <f>VLOOKUP(E456,Listas!$E$2:$G$45,3,0)</f>
        <v>Henry Narvaez</v>
      </c>
      <c r="I456" s="47" t="s">
        <v>1187</v>
      </c>
      <c r="J456" s="47"/>
      <c r="K456" s="38"/>
      <c r="L456" s="38"/>
      <c r="M456" s="40" t="str">
        <f t="shared" ca="1" si="69"/>
        <v>ABIERTO</v>
      </c>
      <c r="N456" s="47"/>
    </row>
    <row r="457" spans="1:14">
      <c r="A457" s="47">
        <f t="shared" si="71"/>
        <v>454</v>
      </c>
      <c r="B457" s="46"/>
      <c r="C457" s="37"/>
      <c r="D457" s="48"/>
      <c r="E457" s="47"/>
      <c r="F457" s="47"/>
      <c r="G457" s="47" t="e">
        <f>VLOOKUP(E457,Listas!$E$2:$H$45,2,0)</f>
        <v>#N/A</v>
      </c>
      <c r="H457" s="47" t="e">
        <f>VLOOKUP(E457,Listas!$E$2:$G$45,3,0)</f>
        <v>#N/A</v>
      </c>
      <c r="I457" s="47"/>
      <c r="J457" s="47"/>
      <c r="K457" s="38"/>
      <c r="L457" s="38"/>
      <c r="M457" s="40" t="str">
        <f t="shared" ca="1" si="69"/>
        <v>ABIERTO</v>
      </c>
      <c r="N457" s="47"/>
    </row>
    <row r="458" spans="1:14">
      <c r="A458" s="47">
        <f t="shared" si="71"/>
        <v>455</v>
      </c>
      <c r="B458" s="46"/>
      <c r="C458" s="37"/>
      <c r="D458" s="48"/>
      <c r="E458" s="47"/>
      <c r="F458" s="47"/>
      <c r="G458" s="47" t="e">
        <f>VLOOKUP(E458,Listas!$E$2:$H$45,2,0)</f>
        <v>#N/A</v>
      </c>
      <c r="H458" s="47" t="e">
        <f>VLOOKUP(E458,Listas!$E$2:$G$45,3,0)</f>
        <v>#N/A</v>
      </c>
      <c r="I458" s="47"/>
      <c r="J458" s="47"/>
      <c r="K458" s="38"/>
      <c r="L458" s="38"/>
      <c r="M458" s="40" t="str">
        <f t="shared" ca="1" si="69"/>
        <v>ABIERTO</v>
      </c>
      <c r="N458" s="47"/>
    </row>
    <row r="459" spans="1:14">
      <c r="A459" s="47">
        <f t="shared" si="71"/>
        <v>456</v>
      </c>
      <c r="B459" s="46"/>
      <c r="C459" s="37"/>
      <c r="D459" s="48"/>
      <c r="E459" s="47"/>
      <c r="F459" s="47"/>
      <c r="G459" s="47" t="e">
        <f>VLOOKUP(E459,Listas!$E$2:$H$45,2,0)</f>
        <v>#N/A</v>
      </c>
      <c r="H459" s="47" t="e">
        <f>VLOOKUP(E459,Listas!$E$2:$G$45,3,0)</f>
        <v>#N/A</v>
      </c>
      <c r="I459" s="47"/>
      <c r="J459" s="47"/>
      <c r="K459" s="38"/>
      <c r="L459" s="38"/>
      <c r="M459" s="40" t="str">
        <f t="shared" ca="1" si="69"/>
        <v>ABIERTO</v>
      </c>
      <c r="N459" s="47"/>
    </row>
    <row r="460" spans="1:14">
      <c r="A460" s="47">
        <f t="shared" si="71"/>
        <v>457</v>
      </c>
      <c r="B460" s="46"/>
      <c r="C460" s="37"/>
      <c r="D460" s="48"/>
      <c r="E460" s="47"/>
      <c r="F460" s="47"/>
      <c r="G460" s="47" t="e">
        <f>VLOOKUP(E460,Listas!$E$2:$H$45,2,0)</f>
        <v>#N/A</v>
      </c>
      <c r="H460" s="47" t="e">
        <f>VLOOKUP(E460,Listas!$E$2:$G$45,3,0)</f>
        <v>#N/A</v>
      </c>
      <c r="I460" s="47"/>
      <c r="J460" s="47"/>
      <c r="K460" s="38"/>
      <c r="L460" s="38"/>
      <c r="M460" s="40" t="str">
        <f t="shared" ca="1" si="69"/>
        <v>ABIERTO</v>
      </c>
      <c r="N460" s="47"/>
    </row>
    <row r="461" spans="1:14">
      <c r="A461" s="47">
        <f t="shared" si="71"/>
        <v>458</v>
      </c>
      <c r="B461" s="46"/>
      <c r="C461" s="37"/>
      <c r="D461" s="48"/>
      <c r="E461" s="47"/>
      <c r="F461" s="47"/>
      <c r="G461" s="47" t="e">
        <f>VLOOKUP(E461,Listas!$E$2:$H$45,2,0)</f>
        <v>#N/A</v>
      </c>
      <c r="H461" s="47" t="e">
        <f>VLOOKUP(E461,Listas!$E$2:$G$45,3,0)</f>
        <v>#N/A</v>
      </c>
      <c r="I461" s="47"/>
      <c r="J461" s="47"/>
      <c r="K461" s="38"/>
      <c r="L461" s="38"/>
      <c r="M461" s="40" t="str">
        <f t="shared" ca="1" si="69"/>
        <v>ABIERTO</v>
      </c>
      <c r="N461" s="47"/>
    </row>
    <row r="462" spans="1:14">
      <c r="A462" s="47">
        <f t="shared" si="71"/>
        <v>459</v>
      </c>
      <c r="B462" s="46"/>
      <c r="C462" s="37"/>
      <c r="D462" s="48"/>
      <c r="E462" s="47"/>
      <c r="F462" s="47"/>
      <c r="G462" s="47" t="e">
        <f>VLOOKUP(E462,Listas!$E$2:$H$45,2,0)</f>
        <v>#N/A</v>
      </c>
      <c r="H462" s="47" t="e">
        <f>VLOOKUP(E462,Listas!$E$2:$G$45,3,0)</f>
        <v>#N/A</v>
      </c>
      <c r="I462" s="47"/>
      <c r="J462" s="47"/>
      <c r="K462" s="38"/>
      <c r="L462" s="38"/>
      <c r="M462" s="40" t="str">
        <f t="shared" ca="1" si="69"/>
        <v>ABIERTO</v>
      </c>
      <c r="N462" s="47"/>
    </row>
    <row r="463" spans="1:14">
      <c r="A463" s="47">
        <f t="shared" si="71"/>
        <v>460</v>
      </c>
      <c r="B463" s="46"/>
      <c r="C463" s="37"/>
      <c r="D463" s="48"/>
      <c r="E463" s="47"/>
      <c r="F463" s="47"/>
      <c r="G463" s="47" t="e">
        <f>VLOOKUP(E463,Listas!$E$2:$H$45,2,0)</f>
        <v>#N/A</v>
      </c>
      <c r="H463" s="47" t="e">
        <f>VLOOKUP(E463,Listas!$E$2:$G$45,3,0)</f>
        <v>#N/A</v>
      </c>
      <c r="I463" s="47"/>
      <c r="J463" s="47"/>
      <c r="K463" s="38"/>
      <c r="L463" s="38"/>
      <c r="M463" s="40" t="str">
        <f t="shared" ca="1" si="69"/>
        <v>ABIERTO</v>
      </c>
      <c r="N463" s="47"/>
    </row>
    <row r="464" spans="1:14">
      <c r="A464" s="47">
        <f t="shared" si="71"/>
        <v>461</v>
      </c>
      <c r="B464" s="46"/>
      <c r="C464" s="37"/>
      <c r="D464" s="48"/>
      <c r="E464" s="47"/>
      <c r="F464" s="47"/>
      <c r="G464" s="47" t="e">
        <f>VLOOKUP(E464,Listas!$E$2:$H$45,2,0)</f>
        <v>#N/A</v>
      </c>
      <c r="H464" s="47" t="e">
        <f>VLOOKUP(E464,Listas!$E$2:$G$45,3,0)</f>
        <v>#N/A</v>
      </c>
      <c r="I464" s="47"/>
      <c r="J464" s="47"/>
      <c r="K464" s="38"/>
      <c r="L464" s="38"/>
      <c r="M464" s="40" t="str">
        <f t="shared" ca="1" si="69"/>
        <v>ABIERTO</v>
      </c>
      <c r="N464" s="47"/>
    </row>
    <row r="465" spans="1:14">
      <c r="A465" s="47">
        <f t="shared" si="71"/>
        <v>462</v>
      </c>
      <c r="B465" s="46"/>
      <c r="C465" s="37"/>
      <c r="D465" s="48"/>
      <c r="E465" s="47"/>
      <c r="F465" s="47"/>
      <c r="G465" s="47" t="e">
        <f>VLOOKUP(E465,Listas!$E$2:$H$45,2,0)</f>
        <v>#N/A</v>
      </c>
      <c r="H465" s="47" t="e">
        <f>VLOOKUP(E465,Listas!$E$2:$G$45,3,0)</f>
        <v>#N/A</v>
      </c>
      <c r="I465" s="47"/>
      <c r="J465" s="47"/>
      <c r="K465" s="38"/>
      <c r="L465" s="38"/>
      <c r="M465" s="40" t="str">
        <f t="shared" ca="1" si="69"/>
        <v>ABIERTO</v>
      </c>
      <c r="N465" s="47"/>
    </row>
    <row r="466" spans="1:14">
      <c r="A466" s="47">
        <f t="shared" si="71"/>
        <v>463</v>
      </c>
      <c r="B466" s="46"/>
      <c r="C466" s="37"/>
      <c r="D466" s="48"/>
      <c r="E466" s="47"/>
      <c r="F466" s="47"/>
      <c r="G466" s="47" t="e">
        <f>VLOOKUP(E466,Listas!$E$2:$H$45,2,0)</f>
        <v>#N/A</v>
      </c>
      <c r="H466" s="47" t="e">
        <f>VLOOKUP(E466,Listas!$E$2:$G$45,3,0)</f>
        <v>#N/A</v>
      </c>
      <c r="I466" s="47"/>
      <c r="J466" s="47"/>
      <c r="K466" s="38"/>
      <c r="L466" s="38"/>
      <c r="M466" s="40" t="str">
        <f t="shared" ca="1" si="69"/>
        <v>ABIERTO</v>
      </c>
      <c r="N466" s="47"/>
    </row>
    <row r="467" spans="1:14">
      <c r="A467" s="47">
        <f t="shared" si="71"/>
        <v>464</v>
      </c>
      <c r="B467" s="46"/>
      <c r="C467" s="37"/>
      <c r="D467" s="48"/>
      <c r="E467" s="47"/>
      <c r="F467" s="47"/>
      <c r="G467" s="47" t="e">
        <f>VLOOKUP(E467,Listas!$E$2:$H$45,2,0)</f>
        <v>#N/A</v>
      </c>
      <c r="H467" s="47" t="e">
        <f>VLOOKUP(E467,Listas!$E$2:$G$45,3,0)</f>
        <v>#N/A</v>
      </c>
      <c r="I467" s="47"/>
      <c r="J467" s="47"/>
      <c r="K467" s="38"/>
      <c r="L467" s="38"/>
      <c r="M467" s="40" t="str">
        <f t="shared" ca="1" si="69"/>
        <v>ABIERTO</v>
      </c>
      <c r="N467" s="47"/>
    </row>
    <row r="468" spans="1:14">
      <c r="A468" s="47">
        <f t="shared" si="71"/>
        <v>465</v>
      </c>
      <c r="B468" s="46"/>
      <c r="C468" s="37"/>
      <c r="D468" s="48"/>
      <c r="E468" s="47"/>
      <c r="F468" s="47"/>
      <c r="G468" s="47" t="e">
        <f>VLOOKUP(E468,Listas!$E$2:$H$45,2,0)</f>
        <v>#N/A</v>
      </c>
      <c r="H468" s="47" t="e">
        <f>VLOOKUP(E468,Listas!$E$2:$G$45,3,0)</f>
        <v>#N/A</v>
      </c>
      <c r="I468" s="47"/>
      <c r="J468" s="47"/>
      <c r="K468" s="38"/>
      <c r="L468" s="38"/>
      <c r="M468" s="40" t="str">
        <f t="shared" ca="1" si="69"/>
        <v>ABIERTO</v>
      </c>
      <c r="N468" s="47"/>
    </row>
    <row r="469" spans="1:14">
      <c r="A469" s="47">
        <f t="shared" si="71"/>
        <v>466</v>
      </c>
      <c r="B469" s="46"/>
      <c r="C469" s="37"/>
      <c r="D469" s="48"/>
      <c r="E469" s="47"/>
      <c r="F469" s="47"/>
      <c r="G469" s="47" t="e">
        <f>VLOOKUP(E469,Listas!$E$2:$H$45,2,0)</f>
        <v>#N/A</v>
      </c>
      <c r="H469" s="47" t="e">
        <f>VLOOKUP(E469,Listas!$E$2:$G$45,3,0)</f>
        <v>#N/A</v>
      </c>
      <c r="I469" s="47"/>
      <c r="J469" s="47"/>
      <c r="K469" s="38"/>
      <c r="L469" s="38"/>
      <c r="M469" s="40" t="str">
        <f t="shared" ca="1" si="69"/>
        <v>ABIERTO</v>
      </c>
      <c r="N469" s="47"/>
    </row>
    <row r="470" spans="1:14">
      <c r="A470" s="47">
        <f t="shared" si="71"/>
        <v>467</v>
      </c>
      <c r="B470" s="46"/>
      <c r="C470" s="37"/>
      <c r="D470" s="48"/>
      <c r="E470" s="47"/>
      <c r="F470" s="47"/>
      <c r="G470" s="47" t="e">
        <f>VLOOKUP(E470,Listas!$E$2:$H$45,2,0)</f>
        <v>#N/A</v>
      </c>
      <c r="H470" s="47" t="e">
        <f>VLOOKUP(E470,Listas!$E$2:$G$45,3,0)</f>
        <v>#N/A</v>
      </c>
      <c r="I470" s="47"/>
      <c r="J470" s="47"/>
      <c r="K470" s="38"/>
      <c r="L470" s="38"/>
      <c r="M470" s="40" t="str">
        <f t="shared" ca="1" si="69"/>
        <v>ABIERTO</v>
      </c>
      <c r="N470" s="47"/>
    </row>
    <row r="471" spans="1:14">
      <c r="A471" s="47">
        <f t="shared" si="71"/>
        <v>468</v>
      </c>
      <c r="B471" s="46"/>
      <c r="C471" s="37"/>
      <c r="D471" s="48"/>
      <c r="E471" s="47"/>
      <c r="F471" s="47"/>
      <c r="G471" s="47" t="e">
        <f>VLOOKUP(E471,Listas!$E$2:$H$45,2,0)</f>
        <v>#N/A</v>
      </c>
      <c r="H471" s="47" t="e">
        <f>VLOOKUP(E471,Listas!$E$2:$G$45,3,0)</f>
        <v>#N/A</v>
      </c>
      <c r="I471" s="47"/>
      <c r="J471" s="47"/>
      <c r="K471" s="38"/>
      <c r="L471" s="38"/>
      <c r="M471" s="40" t="str">
        <f t="shared" ca="1" si="69"/>
        <v>ABIERTO</v>
      </c>
      <c r="N471" s="47"/>
    </row>
    <row r="472" spans="1:14">
      <c r="A472" s="47">
        <f t="shared" si="71"/>
        <v>469</v>
      </c>
      <c r="B472" s="46"/>
      <c r="C472" s="37"/>
      <c r="D472" s="48"/>
      <c r="E472" s="47"/>
      <c r="F472" s="47"/>
      <c r="G472" s="47" t="e">
        <f>VLOOKUP(E472,Listas!$E$2:$H$45,2,0)</f>
        <v>#N/A</v>
      </c>
      <c r="H472" s="47" t="e">
        <f>VLOOKUP(E472,Listas!$E$2:$G$45,3,0)</f>
        <v>#N/A</v>
      </c>
      <c r="I472" s="47"/>
      <c r="J472" s="47"/>
      <c r="K472" s="38"/>
      <c r="L472" s="38"/>
      <c r="M472" s="40" t="str">
        <f t="shared" ca="1" si="69"/>
        <v>ABIERTO</v>
      </c>
      <c r="N472" s="47"/>
    </row>
    <row r="473" spans="1:14">
      <c r="A473" s="47">
        <f t="shared" si="71"/>
        <v>470</v>
      </c>
      <c r="B473" s="46"/>
      <c r="C473" s="37"/>
      <c r="D473" s="48"/>
      <c r="E473" s="47"/>
      <c r="F473" s="47"/>
      <c r="G473" s="47" t="e">
        <f>VLOOKUP(E473,Listas!$E$2:$H$45,2,0)</f>
        <v>#N/A</v>
      </c>
      <c r="H473" s="47" t="e">
        <f>VLOOKUP(E473,Listas!$E$2:$G$45,3,0)</f>
        <v>#N/A</v>
      </c>
      <c r="I473" s="47"/>
      <c r="J473" s="47"/>
      <c r="K473" s="38"/>
      <c r="L473" s="38"/>
      <c r="M473" s="40" t="str">
        <f t="shared" ca="1" si="69"/>
        <v>ABIERTO</v>
      </c>
      <c r="N473" s="47"/>
    </row>
    <row r="474" spans="1:14">
      <c r="A474" s="47">
        <f t="shared" si="71"/>
        <v>471</v>
      </c>
      <c r="B474" s="46"/>
      <c r="C474" s="37"/>
      <c r="D474" s="48"/>
      <c r="E474" s="47"/>
      <c r="F474" s="47"/>
      <c r="G474" s="47" t="e">
        <f>VLOOKUP(E474,Listas!$E$2:$H$45,2,0)</f>
        <v>#N/A</v>
      </c>
      <c r="H474" s="47" t="e">
        <f>VLOOKUP(E474,Listas!$E$2:$G$45,3,0)</f>
        <v>#N/A</v>
      </c>
      <c r="I474" s="47"/>
      <c r="J474" s="47"/>
      <c r="K474" s="38"/>
      <c r="L474" s="38"/>
      <c r="M474" s="40" t="str">
        <f t="shared" ca="1" si="69"/>
        <v>ABIERTO</v>
      </c>
      <c r="N474" s="47"/>
    </row>
    <row r="475" spans="1:14">
      <c r="A475" s="47">
        <f t="shared" si="71"/>
        <v>472</v>
      </c>
      <c r="B475" s="46"/>
      <c r="C475" s="37"/>
      <c r="D475" s="48"/>
      <c r="E475" s="47"/>
      <c r="F475" s="47"/>
      <c r="G475" s="47" t="e">
        <f>VLOOKUP(E475,Listas!$E$2:$H$45,2,0)</f>
        <v>#N/A</v>
      </c>
      <c r="H475" s="47" t="e">
        <f>VLOOKUP(E475,Listas!$E$2:$G$45,3,0)</f>
        <v>#N/A</v>
      </c>
      <c r="I475" s="47"/>
      <c r="J475" s="47"/>
      <c r="K475" s="38"/>
      <c r="L475" s="38"/>
      <c r="M475" s="40" t="str">
        <f t="shared" ca="1" si="69"/>
        <v>ABIERTO</v>
      </c>
      <c r="N475" s="47"/>
    </row>
    <row r="476" spans="1:14">
      <c r="A476" s="47">
        <f t="shared" si="71"/>
        <v>473</v>
      </c>
      <c r="B476" s="46"/>
      <c r="C476" s="37"/>
      <c r="D476" s="48"/>
      <c r="E476" s="47"/>
      <c r="F476" s="47"/>
      <c r="G476" s="47" t="e">
        <f>VLOOKUP(E476,Listas!$E$2:$H$45,2,0)</f>
        <v>#N/A</v>
      </c>
      <c r="H476" s="47" t="e">
        <f>VLOOKUP(E476,Listas!$E$2:$G$45,3,0)</f>
        <v>#N/A</v>
      </c>
      <c r="I476" s="47"/>
      <c r="J476" s="47"/>
      <c r="K476" s="38"/>
      <c r="L476" s="38"/>
      <c r="M476" s="40" t="str">
        <f t="shared" ca="1" si="69"/>
        <v>ABIERTO</v>
      </c>
      <c r="N476" s="47"/>
    </row>
    <row r="477" spans="1:14">
      <c r="A477" s="47">
        <f t="shared" si="71"/>
        <v>474</v>
      </c>
      <c r="B477" s="46"/>
      <c r="C477" s="37"/>
      <c r="D477" s="48"/>
      <c r="E477" s="47"/>
      <c r="F477" s="47"/>
      <c r="G477" s="47" t="e">
        <f>VLOOKUP(E477,Listas!$E$2:$H$45,2,0)</f>
        <v>#N/A</v>
      </c>
      <c r="H477" s="47" t="e">
        <f>VLOOKUP(E477,Listas!$E$2:$G$45,3,0)</f>
        <v>#N/A</v>
      </c>
      <c r="I477" s="47"/>
      <c r="J477" s="47"/>
      <c r="K477" s="38"/>
      <c r="L477" s="38"/>
      <c r="M477" s="40" t="str">
        <f t="shared" ca="1" si="69"/>
        <v>ABIERTO</v>
      </c>
      <c r="N477" s="47"/>
    </row>
  </sheetData>
  <autoFilter ref="A1:N477"/>
  <mergeCells count="26">
    <mergeCell ref="I349:J349"/>
    <mergeCell ref="L2:L3"/>
    <mergeCell ref="K1:K3"/>
    <mergeCell ref="I348:J348"/>
    <mergeCell ref="B2:B3"/>
    <mergeCell ref="A2:A3"/>
    <mergeCell ref="N2:N3"/>
    <mergeCell ref="M2:M3"/>
    <mergeCell ref="I2:I3"/>
    <mergeCell ref="H2:H3"/>
    <mergeCell ref="G2:G3"/>
    <mergeCell ref="F2:F3"/>
    <mergeCell ref="E2:E3"/>
    <mergeCell ref="D2:D3"/>
    <mergeCell ref="C2:C3"/>
    <mergeCell ref="I355:J355"/>
    <mergeCell ref="I350:J350"/>
    <mergeCell ref="I351:J351"/>
    <mergeCell ref="I352:J352"/>
    <mergeCell ref="I353:J353"/>
    <mergeCell ref="I354:J354"/>
    <mergeCell ref="I360:J360"/>
    <mergeCell ref="I359:J359"/>
    <mergeCell ref="I356:J356"/>
    <mergeCell ref="I357:J357"/>
    <mergeCell ref="I358:J358"/>
  </mergeCells>
  <dataValidations count="1">
    <dataValidation allowBlank="1" showInputMessage="1" showErrorMessage="1" sqref="M4:M477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Listas!$B$2:$B$3</xm:f>
          </x14:formula1>
          <xm:sqref>C4:C6 C361:C477</xm:sqref>
        </x14:dataValidation>
        <x14:dataValidation type="list" allowBlank="1" showInputMessage="1" showErrorMessage="1">
          <x14:formula1>
            <xm:f>Listas!$D$2:$D$9</xm:f>
          </x14:formula1>
          <xm:sqref>G4:G6</xm:sqref>
        </x14:dataValidation>
        <x14:dataValidation type="list" allowBlank="1" showInputMessage="1" showErrorMessage="1">
          <x14:formula1>
            <xm:f>Listas!$H$2:$H$9</xm:f>
          </x14:formula1>
          <xm:sqref>H4:H6</xm:sqref>
        </x14:dataValidation>
        <x14:dataValidation type="list" allowBlank="1" showInputMessage="1" showErrorMessage="1">
          <x14:formula1>
            <xm:f>Listas!$E$2:$E$42</xm:f>
          </x14:formula1>
          <xm:sqref>F362 E457:E477 E361:E406 E408:E448 E450:E455</xm:sqref>
        </x14:dataValidation>
        <x14:dataValidation type="list" allowBlank="1" showInputMessage="1" showErrorMessage="1">
          <x14:formula1>
            <xm:f>Listas!$E$2:$E$50</xm:f>
          </x14:formula1>
          <xm:sqref>E456</xm:sqref>
        </x14:dataValidation>
        <x14:dataValidation type="list" allowBlank="1" showInputMessage="1" showErrorMessage="1">
          <x14:formula1>
            <xm:f>Listas!$E$2:$E$60</xm:f>
          </x14:formula1>
          <xm:sqref>E407 E449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46"/>
  <sheetViews>
    <sheetView topLeftCell="A26" workbookViewId="0">
      <selection activeCell="E47" sqref="E47"/>
    </sheetView>
  </sheetViews>
  <sheetFormatPr baseColWidth="10" defaultColWidth="8.88671875" defaultRowHeight="14.4"/>
  <cols>
    <col min="2" max="3" width="22.6640625" customWidth="1"/>
    <col min="4" max="4" width="25" customWidth="1"/>
    <col min="5" max="7" width="27.33203125" customWidth="1"/>
    <col min="8" max="8" width="27.109375" customWidth="1"/>
    <col min="9" max="9" width="28.88671875" customWidth="1"/>
    <col min="12" max="12" width="15.44140625" customWidth="1"/>
  </cols>
  <sheetData>
    <row r="1" spans="2:12">
      <c r="B1" s="13" t="s">
        <v>1188</v>
      </c>
      <c r="C1" s="13" t="s">
        <v>1189</v>
      </c>
      <c r="D1" s="13" t="s">
        <v>1190</v>
      </c>
      <c r="E1" s="13" t="s">
        <v>6</v>
      </c>
      <c r="F1" s="13" t="s">
        <v>1190</v>
      </c>
      <c r="G1" s="13"/>
      <c r="H1" s="13" t="s">
        <v>1191</v>
      </c>
      <c r="I1" s="13" t="s">
        <v>1192</v>
      </c>
      <c r="L1" s="13" t="s">
        <v>13</v>
      </c>
    </row>
    <row r="2" spans="2:12">
      <c r="B2" t="s">
        <v>24</v>
      </c>
      <c r="D2" t="s">
        <v>30</v>
      </c>
      <c r="E2" s="15" t="s">
        <v>1193</v>
      </c>
      <c r="F2" t="s">
        <v>30</v>
      </c>
      <c r="G2" t="s">
        <v>31</v>
      </c>
      <c r="H2" t="s">
        <v>31</v>
      </c>
      <c r="I2" t="s">
        <v>31</v>
      </c>
      <c r="L2" t="s">
        <v>1194</v>
      </c>
    </row>
    <row r="3" spans="2:12">
      <c r="B3" t="s">
        <v>16</v>
      </c>
      <c r="D3" t="s">
        <v>121</v>
      </c>
      <c r="E3" s="16" t="s">
        <v>1141</v>
      </c>
      <c r="F3" s="18" t="s">
        <v>30</v>
      </c>
      <c r="G3" t="s">
        <v>31</v>
      </c>
      <c r="H3" t="s">
        <v>502</v>
      </c>
      <c r="I3" t="s">
        <v>502</v>
      </c>
      <c r="L3" t="s">
        <v>1195</v>
      </c>
    </row>
    <row r="4" spans="2:12">
      <c r="D4" t="s">
        <v>152</v>
      </c>
      <c r="E4" s="16" t="s">
        <v>1089</v>
      </c>
      <c r="F4" t="s">
        <v>30</v>
      </c>
      <c r="G4" t="s">
        <v>31</v>
      </c>
      <c r="H4" t="s">
        <v>153</v>
      </c>
      <c r="I4" t="s">
        <v>153</v>
      </c>
      <c r="L4" t="s">
        <v>1196</v>
      </c>
    </row>
    <row r="5" spans="2:12">
      <c r="D5" t="s">
        <v>147</v>
      </c>
      <c r="E5" s="16" t="s">
        <v>1074</v>
      </c>
      <c r="F5" t="s">
        <v>30</v>
      </c>
      <c r="G5" t="s">
        <v>31</v>
      </c>
      <c r="H5" t="s">
        <v>506</v>
      </c>
      <c r="I5" t="s">
        <v>506</v>
      </c>
      <c r="L5" t="s">
        <v>1197</v>
      </c>
    </row>
    <row r="6" spans="2:12">
      <c r="D6" t="s">
        <v>88</v>
      </c>
      <c r="E6" s="16" t="s">
        <v>1198</v>
      </c>
      <c r="F6" t="s">
        <v>30</v>
      </c>
      <c r="G6" t="s">
        <v>31</v>
      </c>
      <c r="H6" t="s">
        <v>329</v>
      </c>
      <c r="I6" t="s">
        <v>329</v>
      </c>
    </row>
    <row r="7" spans="2:12">
      <c r="B7" s="30">
        <f ca="1">TODAY()</f>
        <v>46234</v>
      </c>
      <c r="D7" t="s">
        <v>20</v>
      </c>
      <c r="E7" s="16" t="s">
        <v>1199</v>
      </c>
      <c r="F7" t="s">
        <v>30</v>
      </c>
      <c r="G7" t="s">
        <v>31</v>
      </c>
      <c r="H7" t="s">
        <v>21</v>
      </c>
      <c r="I7" t="s">
        <v>21</v>
      </c>
    </row>
    <row r="8" spans="2:12">
      <c r="D8" t="s">
        <v>1200</v>
      </c>
      <c r="E8" s="16" t="s">
        <v>1109</v>
      </c>
      <c r="F8" t="s">
        <v>121</v>
      </c>
      <c r="G8" t="s">
        <v>502</v>
      </c>
      <c r="H8" t="s">
        <v>621</v>
      </c>
      <c r="I8" t="s">
        <v>621</v>
      </c>
    </row>
    <row r="9" spans="2:12">
      <c r="D9" t="s">
        <v>1201</v>
      </c>
      <c r="E9" s="16" t="s">
        <v>1076</v>
      </c>
      <c r="F9" t="s">
        <v>121</v>
      </c>
      <c r="G9" t="s">
        <v>502</v>
      </c>
      <c r="H9" t="s">
        <v>896</v>
      </c>
      <c r="I9" t="s">
        <v>896</v>
      </c>
    </row>
    <row r="10" spans="2:12">
      <c r="D10" s="27" t="s">
        <v>1202</v>
      </c>
      <c r="E10" s="15" t="s">
        <v>1203</v>
      </c>
      <c r="F10" t="s">
        <v>121</v>
      </c>
      <c r="G10" t="s">
        <v>502</v>
      </c>
    </row>
    <row r="11" spans="2:12">
      <c r="D11" t="s">
        <v>1204</v>
      </c>
      <c r="E11" s="16" t="s">
        <v>1068</v>
      </c>
      <c r="F11" t="s">
        <v>121</v>
      </c>
      <c r="G11" t="s">
        <v>502</v>
      </c>
    </row>
    <row r="12" spans="2:12">
      <c r="E12" s="16" t="s">
        <v>1205</v>
      </c>
      <c r="F12" t="s">
        <v>121</v>
      </c>
      <c r="G12" t="s">
        <v>502</v>
      </c>
    </row>
    <row r="13" spans="2:12">
      <c r="E13" s="15" t="s">
        <v>1206</v>
      </c>
      <c r="F13" t="s">
        <v>121</v>
      </c>
      <c r="G13" t="s">
        <v>502</v>
      </c>
    </row>
    <row r="14" spans="2:12">
      <c r="E14" s="15" t="s">
        <v>1207</v>
      </c>
      <c r="F14" t="s">
        <v>121</v>
      </c>
      <c r="G14" t="s">
        <v>502</v>
      </c>
    </row>
    <row r="15" spans="2:12">
      <c r="E15" s="15" t="s">
        <v>1208</v>
      </c>
      <c r="F15" s="17" t="s">
        <v>121</v>
      </c>
      <c r="G15" t="s">
        <v>502</v>
      </c>
    </row>
    <row r="16" spans="2:12">
      <c r="E16" s="15" t="s">
        <v>1209</v>
      </c>
      <c r="F16" t="s">
        <v>147</v>
      </c>
      <c r="G16" t="s">
        <v>506</v>
      </c>
    </row>
    <row r="17" spans="5:7">
      <c r="E17" s="15" t="s">
        <v>1210</v>
      </c>
      <c r="F17" t="s">
        <v>147</v>
      </c>
      <c r="G17" t="s">
        <v>506</v>
      </c>
    </row>
    <row r="18" spans="5:7">
      <c r="E18" s="15" t="s">
        <v>1211</v>
      </c>
      <c r="F18" t="s">
        <v>147</v>
      </c>
      <c r="G18" t="s">
        <v>506</v>
      </c>
    </row>
    <row r="19" spans="5:7">
      <c r="E19" s="15" t="s">
        <v>1212</v>
      </c>
      <c r="F19" t="s">
        <v>147</v>
      </c>
      <c r="G19" t="s">
        <v>506</v>
      </c>
    </row>
    <row r="20" spans="5:7">
      <c r="E20" s="15" t="s">
        <v>1213</v>
      </c>
      <c r="F20" t="s">
        <v>147</v>
      </c>
      <c r="G20" t="s">
        <v>506</v>
      </c>
    </row>
    <row r="21" spans="5:7">
      <c r="E21" s="15" t="s">
        <v>1214</v>
      </c>
      <c r="F21" t="s">
        <v>147</v>
      </c>
      <c r="G21" t="s">
        <v>506</v>
      </c>
    </row>
    <row r="22" spans="5:7">
      <c r="E22" s="16" t="s">
        <v>1215</v>
      </c>
      <c r="F22" t="s">
        <v>147</v>
      </c>
      <c r="G22" t="s">
        <v>506</v>
      </c>
    </row>
    <row r="23" spans="5:7">
      <c r="E23" s="16" t="s">
        <v>1216</v>
      </c>
      <c r="F23" t="s">
        <v>147</v>
      </c>
      <c r="G23" t="s">
        <v>506</v>
      </c>
    </row>
    <row r="24" spans="5:7">
      <c r="E24" s="16" t="s">
        <v>1217</v>
      </c>
      <c r="F24" t="s">
        <v>152</v>
      </c>
      <c r="G24" t="s">
        <v>153</v>
      </c>
    </row>
    <row r="25" spans="5:7">
      <c r="E25" s="16" t="s">
        <v>1218</v>
      </c>
      <c r="F25" t="s">
        <v>152</v>
      </c>
      <c r="G25" t="s">
        <v>153</v>
      </c>
    </row>
    <row r="26" spans="5:7">
      <c r="E26" s="15" t="s">
        <v>1063</v>
      </c>
      <c r="F26" t="s">
        <v>152</v>
      </c>
      <c r="G26" t="s">
        <v>153</v>
      </c>
    </row>
    <row r="27" spans="5:7">
      <c r="E27" s="15" t="s">
        <v>1219</v>
      </c>
      <c r="F27" t="s">
        <v>152</v>
      </c>
      <c r="G27" t="s">
        <v>153</v>
      </c>
    </row>
    <row r="28" spans="5:7">
      <c r="E28" s="15" t="s">
        <v>1019</v>
      </c>
      <c r="F28" t="s">
        <v>152</v>
      </c>
      <c r="G28" t="s">
        <v>153</v>
      </c>
    </row>
    <row r="29" spans="5:7">
      <c r="E29" s="15" t="s">
        <v>1220</v>
      </c>
      <c r="F29" t="s">
        <v>152</v>
      </c>
      <c r="G29" t="s">
        <v>153</v>
      </c>
    </row>
    <row r="30" spans="5:7">
      <c r="E30" s="26" t="s">
        <v>1115</v>
      </c>
      <c r="F30" t="s">
        <v>152</v>
      </c>
      <c r="G30" t="s">
        <v>153</v>
      </c>
    </row>
    <row r="31" spans="5:7">
      <c r="E31" s="5" t="s">
        <v>1221</v>
      </c>
      <c r="F31" t="s">
        <v>20</v>
      </c>
      <c r="G31" t="s">
        <v>21</v>
      </c>
    </row>
    <row r="32" spans="5:7">
      <c r="E32" s="5" t="s">
        <v>1031</v>
      </c>
      <c r="F32" t="s">
        <v>1200</v>
      </c>
      <c r="G32" t="s">
        <v>621</v>
      </c>
    </row>
    <row r="33" spans="5:7">
      <c r="E33" s="5" t="s">
        <v>1097</v>
      </c>
      <c r="F33" t="s">
        <v>1201</v>
      </c>
      <c r="G33" t="s">
        <v>896</v>
      </c>
    </row>
    <row r="34" spans="5:7">
      <c r="E34" s="5" t="s">
        <v>1011</v>
      </c>
      <c r="F34" t="s">
        <v>1222</v>
      </c>
      <c r="G34" t="s">
        <v>1223</v>
      </c>
    </row>
    <row r="35" spans="5:7">
      <c r="E35" s="5" t="s">
        <v>30</v>
      </c>
      <c r="F35" t="s">
        <v>1224</v>
      </c>
      <c r="G35" t="s">
        <v>31</v>
      </c>
    </row>
    <row r="36" spans="5:7">
      <c r="E36" s="5" t="s">
        <v>121</v>
      </c>
      <c r="F36" t="s">
        <v>121</v>
      </c>
      <c r="G36" t="s">
        <v>502</v>
      </c>
    </row>
    <row r="37" spans="5:7">
      <c r="E37" s="5" t="s">
        <v>152</v>
      </c>
      <c r="F37" t="s">
        <v>152</v>
      </c>
      <c r="G37" t="s">
        <v>153</v>
      </c>
    </row>
    <row r="38" spans="5:7">
      <c r="E38" s="5" t="s">
        <v>147</v>
      </c>
      <c r="F38" t="s">
        <v>147</v>
      </c>
      <c r="G38" t="s">
        <v>506</v>
      </c>
    </row>
    <row r="39" spans="5:7">
      <c r="E39" s="5" t="s">
        <v>88</v>
      </c>
      <c r="F39" t="s">
        <v>88</v>
      </c>
      <c r="G39" t="s">
        <v>329</v>
      </c>
    </row>
    <row r="40" spans="5:7">
      <c r="E40" s="5" t="s">
        <v>20</v>
      </c>
      <c r="F40" t="s">
        <v>20</v>
      </c>
      <c r="G40" t="s">
        <v>21</v>
      </c>
    </row>
    <row r="41" spans="5:7">
      <c r="E41" s="5" t="s">
        <v>1225</v>
      </c>
      <c r="F41" t="s">
        <v>1225</v>
      </c>
      <c r="G41" t="s">
        <v>1223</v>
      </c>
    </row>
    <row r="42" spans="5:7">
      <c r="E42" s="10" t="s">
        <v>1226</v>
      </c>
      <c r="F42" t="s">
        <v>1226</v>
      </c>
      <c r="G42" t="s">
        <v>1223</v>
      </c>
    </row>
    <row r="43" spans="5:7">
      <c r="E43" s="28" t="s">
        <v>1227</v>
      </c>
    </row>
    <row r="44" spans="5:7">
      <c r="E44" t="s">
        <v>1185</v>
      </c>
      <c r="F44" t="s">
        <v>1228</v>
      </c>
      <c r="G44" t="s">
        <v>1229</v>
      </c>
    </row>
    <row r="45" spans="5:7">
      <c r="E45" t="s">
        <v>1105</v>
      </c>
      <c r="F45" t="s">
        <v>1201</v>
      </c>
      <c r="G45" t="s">
        <v>896</v>
      </c>
    </row>
    <row r="46" spans="5:7">
      <c r="E46" t="s">
        <v>1172</v>
      </c>
      <c r="F46" t="s">
        <v>152</v>
      </c>
      <c r="G46" t="s">
        <v>153</v>
      </c>
    </row>
  </sheetData>
  <autoFilter ref="B1:I3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ec3ae9-8fcb-4d01-9912-d9c8acfa0edd">
      <Terms xmlns="http://schemas.microsoft.com/office/infopath/2007/PartnerControls"/>
    </lcf76f155ced4ddcb4097134ff3c332f>
    <TaxCatchAll xmlns="f744fce7-bf87-44de-8eb1-9fa1455f46be" xsi:nil="true"/>
    <_Flow_SignoffStatus xmlns="ffec3ae9-8fcb-4d01-9912-d9c8acfa0ed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6942A3F34A68F4FA889A03CFBAE991E" ma:contentTypeVersion="15" ma:contentTypeDescription="Crear nuevo documento." ma:contentTypeScope="" ma:versionID="a9c9023ec2ee2a8c54e6ffbc5348479d">
  <xsd:schema xmlns:xsd="http://www.w3.org/2001/XMLSchema" xmlns:xs="http://www.w3.org/2001/XMLSchema" xmlns:p="http://schemas.microsoft.com/office/2006/metadata/properties" xmlns:ns2="ffec3ae9-8fcb-4d01-9912-d9c8acfa0edd" xmlns:ns3="f744fce7-bf87-44de-8eb1-9fa1455f46be" targetNamespace="http://schemas.microsoft.com/office/2006/metadata/properties" ma:root="true" ma:fieldsID="976732c5a9512de0261515c98037693f" ns2:_="" ns3:_="">
    <xsd:import namespace="ffec3ae9-8fcb-4d01-9912-d9c8acfa0edd"/>
    <xsd:import namespace="f744fce7-bf87-44de-8eb1-9fa1455f46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_Flow_SignoffStatu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ec3ae9-8fcb-4d01-9912-d9c8acfa0e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2" nillable="true" ma:displayName="Estado de aprobación" ma:internalName="Estado_x0020_de_x0020_aprobaci_x00f3_n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5a12d170-c9fa-4ea1-b562-50058c25ba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44fce7-bf87-44de-8eb1-9fa1455f46b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c1456d8-15fc-47f4-a913-1f09bcca3391}" ma:internalName="TaxCatchAll" ma:showField="CatchAllData" ma:web="f744fce7-bf87-44de-8eb1-9fa1455f46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8F9FE4-CC7D-449E-8B79-8976DE4CC7F7}">
  <ds:schemaRefs>
    <ds:schemaRef ds:uri="http://schemas.microsoft.com/office/2006/metadata/properties"/>
    <ds:schemaRef ds:uri="http://schemas.microsoft.com/office/infopath/2007/PartnerControls"/>
    <ds:schemaRef ds:uri="ffec3ae9-8fcb-4d01-9912-d9c8acfa0edd"/>
    <ds:schemaRef ds:uri="f744fce7-bf87-44de-8eb1-9fa1455f46be"/>
  </ds:schemaRefs>
</ds:datastoreItem>
</file>

<file path=customXml/itemProps2.xml><?xml version="1.0" encoding="utf-8"?>
<ds:datastoreItem xmlns:ds="http://schemas.openxmlformats.org/officeDocument/2006/customXml" ds:itemID="{B182A765-8CFD-450C-AF9F-37AEC630B2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ec3ae9-8fcb-4d01-9912-d9c8acfa0edd"/>
    <ds:schemaRef ds:uri="f744fce7-bf87-44de-8eb1-9fa1455f4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F4C917-C929-4E8D-89EB-6D6A5A32B0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Mayancela</dc:creator>
  <cp:keywords/>
  <dc:description/>
  <cp:lastModifiedBy>David Mayancela</cp:lastModifiedBy>
  <cp:revision/>
  <dcterms:created xsi:type="dcterms:W3CDTF">2026-07-24T07:10:11Z</dcterms:created>
  <dcterms:modified xsi:type="dcterms:W3CDTF">2026-07-31T21:46:20Z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0x01010086942A3F34A68F4FA889A03CFBAE991E</vt:lpwstr>
  </property>
  <property fmtid="{D5CDD505-2E9C-101B-9397-08002B2CF9AE}" pid="3" name="MediaServiceImageTags">
    <vt:lpwstr/>
  </property>
</Properties>
</file>