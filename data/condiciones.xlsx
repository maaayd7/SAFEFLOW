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siasb\Downloads\"/>
    </mc:Choice>
  </mc:AlternateContent>
  <bookViews>
    <workbookView xWindow="0" yWindow="0" windowWidth="24000" windowHeight="9612"/>
  </bookViews>
  <sheets>
    <sheet name="Base" sheetId="1" r:id="rId1"/>
    <sheet name="Listas" sheetId="2" r:id="rId2"/>
    <sheet name="Máquinas" sheetId="3" r:id="rId3"/>
  </sheets>
  <definedNames>
    <definedName name="_xlnm._FilterDatabase" localSheetId="0" hidden="1">Base!$A$2:$DR$389</definedName>
  </definedNames>
  <calcPr calcId="162913"/>
</workbook>
</file>

<file path=xl/calcChain.xml><?xml version="1.0" encoding="utf-8"?>
<calcChain xmlns="http://schemas.openxmlformats.org/spreadsheetml/2006/main">
  <c r="A341" i="1" l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B7" i="2"/>
  <c r="P389" i="1"/>
  <c r="N389" i="1"/>
  <c r="I389" i="1"/>
  <c r="P388" i="1"/>
  <c r="N388" i="1"/>
  <c r="I388" i="1"/>
  <c r="P387" i="1"/>
  <c r="N387" i="1"/>
  <c r="I387" i="1"/>
  <c r="P386" i="1"/>
  <c r="N386" i="1"/>
  <c r="I386" i="1"/>
  <c r="P385" i="1"/>
  <c r="N385" i="1"/>
  <c r="I385" i="1"/>
  <c r="P384" i="1"/>
  <c r="N384" i="1"/>
  <c r="I384" i="1"/>
  <c r="P383" i="1"/>
  <c r="N383" i="1"/>
  <c r="I383" i="1"/>
  <c r="P382" i="1"/>
  <c r="N382" i="1"/>
  <c r="I382" i="1"/>
  <c r="P381" i="1"/>
  <c r="N381" i="1"/>
  <c r="I381" i="1"/>
  <c r="P380" i="1"/>
  <c r="N380" i="1"/>
  <c r="I380" i="1"/>
  <c r="P379" i="1"/>
  <c r="N379" i="1"/>
  <c r="I379" i="1"/>
  <c r="P378" i="1"/>
  <c r="N378" i="1"/>
  <c r="I378" i="1"/>
  <c r="P377" i="1"/>
  <c r="N377" i="1"/>
  <c r="I377" i="1"/>
  <c r="P376" i="1"/>
  <c r="N376" i="1"/>
  <c r="I376" i="1"/>
  <c r="P375" i="1"/>
  <c r="N375" i="1"/>
  <c r="I375" i="1"/>
  <c r="P374" i="1"/>
  <c r="N374" i="1"/>
  <c r="I374" i="1"/>
  <c r="P373" i="1"/>
  <c r="N373" i="1"/>
  <c r="I373" i="1"/>
  <c r="P372" i="1"/>
  <c r="N372" i="1"/>
  <c r="I372" i="1"/>
  <c r="P371" i="1"/>
  <c r="N371" i="1"/>
  <c r="I371" i="1"/>
  <c r="P370" i="1"/>
  <c r="N370" i="1"/>
  <c r="I370" i="1"/>
  <c r="P369" i="1"/>
  <c r="N369" i="1"/>
  <c r="I369" i="1"/>
  <c r="P368" i="1"/>
  <c r="N368" i="1"/>
  <c r="I368" i="1"/>
  <c r="P367" i="1"/>
  <c r="N367" i="1"/>
  <c r="I367" i="1"/>
  <c r="P366" i="1"/>
  <c r="N366" i="1"/>
  <c r="I366" i="1"/>
  <c r="P365" i="1"/>
  <c r="N365" i="1"/>
  <c r="I365" i="1"/>
  <c r="P364" i="1"/>
  <c r="N364" i="1"/>
  <c r="I364" i="1"/>
  <c r="P363" i="1"/>
  <c r="N363" i="1"/>
  <c r="I363" i="1"/>
  <c r="P362" i="1"/>
  <c r="N362" i="1"/>
  <c r="I362" i="1"/>
  <c r="P361" i="1"/>
  <c r="N361" i="1"/>
  <c r="I361" i="1"/>
  <c r="P360" i="1"/>
  <c r="N360" i="1"/>
  <c r="I360" i="1"/>
  <c r="P359" i="1"/>
  <c r="N359" i="1"/>
  <c r="I359" i="1"/>
  <c r="P358" i="1"/>
  <c r="N358" i="1"/>
  <c r="I358" i="1"/>
  <c r="P357" i="1"/>
  <c r="N357" i="1"/>
  <c r="I357" i="1"/>
  <c r="P356" i="1"/>
  <c r="N356" i="1"/>
  <c r="I356" i="1"/>
  <c r="P355" i="1"/>
  <c r="N355" i="1"/>
  <c r="I355" i="1"/>
  <c r="P354" i="1"/>
  <c r="N354" i="1"/>
  <c r="I354" i="1"/>
  <c r="P353" i="1"/>
  <c r="N353" i="1"/>
  <c r="I353" i="1"/>
  <c r="P352" i="1"/>
  <c r="N352" i="1"/>
  <c r="I352" i="1"/>
  <c r="P351" i="1"/>
  <c r="N351" i="1"/>
  <c r="I351" i="1"/>
  <c r="P350" i="1"/>
  <c r="N350" i="1"/>
  <c r="I350" i="1"/>
  <c r="P349" i="1"/>
  <c r="N349" i="1"/>
  <c r="I349" i="1"/>
  <c r="P348" i="1"/>
  <c r="N348" i="1"/>
  <c r="I348" i="1"/>
  <c r="P347" i="1"/>
  <c r="N347" i="1"/>
  <c r="I347" i="1"/>
  <c r="P346" i="1"/>
  <c r="N346" i="1"/>
  <c r="I346" i="1"/>
  <c r="P345" i="1"/>
  <c r="N345" i="1"/>
  <c r="I345" i="1"/>
  <c r="P344" i="1"/>
  <c r="N344" i="1"/>
  <c r="I344" i="1"/>
  <c r="P343" i="1"/>
  <c r="N343" i="1"/>
  <c r="I343" i="1"/>
  <c r="P342" i="1"/>
  <c r="N342" i="1"/>
  <c r="I342" i="1"/>
  <c r="P341" i="1"/>
  <c r="N341" i="1"/>
  <c r="P340" i="1"/>
  <c r="N340" i="1"/>
  <c r="I340" i="1"/>
  <c r="P339" i="1"/>
  <c r="N339" i="1"/>
  <c r="I339" i="1"/>
  <c r="P338" i="1"/>
  <c r="N338" i="1"/>
  <c r="I338" i="1"/>
  <c r="P337" i="1"/>
  <c r="N337" i="1"/>
  <c r="I337" i="1"/>
  <c r="P336" i="1"/>
  <c r="N336" i="1"/>
  <c r="I336" i="1"/>
  <c r="P335" i="1"/>
  <c r="N335" i="1"/>
  <c r="I335" i="1"/>
  <c r="P334" i="1"/>
  <c r="N334" i="1"/>
  <c r="I334" i="1"/>
  <c r="P333" i="1"/>
  <c r="N333" i="1"/>
  <c r="I333" i="1"/>
  <c r="P332" i="1"/>
  <c r="N332" i="1"/>
  <c r="I332" i="1"/>
  <c r="P331" i="1"/>
  <c r="N331" i="1"/>
  <c r="I331" i="1"/>
  <c r="P330" i="1"/>
  <c r="N330" i="1"/>
  <c r="I330" i="1"/>
  <c r="P329" i="1"/>
  <c r="N329" i="1"/>
  <c r="I329" i="1"/>
  <c r="P328" i="1"/>
  <c r="N328" i="1"/>
  <c r="I328" i="1"/>
  <c r="P327" i="1"/>
  <c r="N327" i="1"/>
  <c r="I327" i="1"/>
  <c r="P326" i="1"/>
  <c r="N326" i="1"/>
  <c r="I326" i="1"/>
  <c r="P325" i="1"/>
  <c r="N325" i="1"/>
  <c r="I325" i="1"/>
  <c r="P324" i="1"/>
  <c r="N324" i="1"/>
  <c r="I324" i="1"/>
  <c r="P323" i="1"/>
  <c r="N323" i="1"/>
  <c r="I323" i="1"/>
  <c r="P322" i="1"/>
  <c r="N322" i="1"/>
  <c r="I322" i="1"/>
  <c r="P321" i="1"/>
  <c r="N321" i="1"/>
  <c r="I321" i="1"/>
  <c r="P320" i="1"/>
  <c r="N320" i="1"/>
  <c r="I320" i="1"/>
  <c r="P319" i="1"/>
  <c r="N319" i="1"/>
  <c r="I319" i="1"/>
  <c r="P318" i="1"/>
  <c r="N318" i="1"/>
  <c r="I318" i="1"/>
  <c r="P317" i="1"/>
  <c r="N317" i="1"/>
  <c r="I317" i="1"/>
  <c r="P316" i="1"/>
  <c r="N316" i="1"/>
  <c r="I316" i="1"/>
  <c r="P315" i="1"/>
  <c r="N315" i="1"/>
  <c r="I315" i="1"/>
  <c r="P314" i="1"/>
  <c r="N314" i="1"/>
  <c r="I314" i="1"/>
  <c r="P313" i="1"/>
  <c r="N313" i="1"/>
  <c r="I313" i="1"/>
  <c r="P312" i="1"/>
  <c r="N312" i="1"/>
  <c r="I312" i="1"/>
  <c r="P311" i="1"/>
  <c r="N311" i="1"/>
  <c r="I311" i="1"/>
  <c r="P310" i="1"/>
  <c r="N310" i="1"/>
  <c r="I310" i="1"/>
  <c r="P309" i="1"/>
  <c r="N309" i="1"/>
  <c r="I309" i="1"/>
  <c r="P308" i="1"/>
  <c r="N308" i="1"/>
  <c r="I308" i="1"/>
  <c r="P307" i="1"/>
  <c r="N307" i="1"/>
  <c r="I307" i="1"/>
  <c r="P306" i="1"/>
  <c r="N306" i="1"/>
  <c r="I306" i="1"/>
  <c r="P305" i="1"/>
  <c r="N305" i="1"/>
  <c r="I305" i="1"/>
  <c r="P304" i="1"/>
  <c r="N304" i="1"/>
  <c r="I304" i="1"/>
  <c r="P303" i="1"/>
  <c r="N303" i="1"/>
  <c r="I303" i="1"/>
  <c r="P302" i="1"/>
  <c r="N302" i="1"/>
  <c r="I302" i="1"/>
  <c r="P301" i="1"/>
  <c r="N301" i="1"/>
  <c r="I301" i="1"/>
  <c r="P300" i="1"/>
  <c r="N300" i="1"/>
  <c r="I300" i="1"/>
  <c r="P299" i="1"/>
  <c r="N299" i="1"/>
  <c r="I299" i="1"/>
  <c r="P298" i="1"/>
  <c r="N298" i="1"/>
  <c r="I298" i="1"/>
  <c r="P297" i="1"/>
  <c r="N297" i="1"/>
  <c r="I297" i="1"/>
  <c r="P296" i="1"/>
  <c r="N296" i="1"/>
  <c r="I296" i="1"/>
  <c r="P295" i="1"/>
  <c r="N295" i="1"/>
  <c r="I295" i="1"/>
  <c r="P294" i="1"/>
  <c r="N294" i="1"/>
  <c r="I294" i="1"/>
  <c r="P293" i="1"/>
  <c r="N293" i="1"/>
  <c r="I293" i="1"/>
  <c r="P292" i="1"/>
  <c r="N292" i="1"/>
  <c r="I292" i="1"/>
  <c r="P291" i="1"/>
  <c r="N291" i="1"/>
  <c r="I291" i="1"/>
  <c r="P290" i="1"/>
  <c r="N290" i="1"/>
  <c r="I290" i="1"/>
  <c r="P289" i="1"/>
  <c r="N289" i="1"/>
  <c r="I289" i="1"/>
  <c r="P288" i="1"/>
  <c r="N288" i="1"/>
  <c r="I288" i="1"/>
  <c r="P287" i="1"/>
  <c r="N287" i="1"/>
  <c r="I287" i="1"/>
  <c r="P286" i="1"/>
  <c r="N286" i="1"/>
  <c r="I286" i="1"/>
  <c r="P285" i="1"/>
  <c r="N285" i="1"/>
  <c r="I285" i="1"/>
  <c r="P284" i="1"/>
  <c r="N284" i="1"/>
  <c r="I284" i="1"/>
  <c r="P283" i="1"/>
  <c r="N283" i="1"/>
  <c r="I283" i="1"/>
  <c r="P282" i="1"/>
  <c r="N282" i="1"/>
  <c r="I282" i="1"/>
  <c r="P281" i="1"/>
  <c r="N281" i="1"/>
  <c r="I281" i="1"/>
  <c r="P280" i="1"/>
  <c r="N280" i="1"/>
  <c r="I280" i="1"/>
  <c r="P279" i="1"/>
  <c r="N279" i="1"/>
  <c r="I279" i="1"/>
  <c r="P278" i="1"/>
  <c r="N278" i="1"/>
  <c r="I278" i="1"/>
  <c r="P277" i="1"/>
  <c r="M277" i="1"/>
  <c r="N277" i="1" s="1"/>
  <c r="I277" i="1"/>
  <c r="P276" i="1"/>
  <c r="N276" i="1"/>
  <c r="I276" i="1"/>
  <c r="P275" i="1"/>
  <c r="M275" i="1"/>
  <c r="N275" i="1" s="1"/>
  <c r="I275" i="1"/>
  <c r="P274" i="1"/>
  <c r="N274" i="1"/>
  <c r="M274" i="1"/>
  <c r="I274" i="1"/>
  <c r="P273" i="1"/>
  <c r="M273" i="1"/>
  <c r="N273" i="1" s="1"/>
  <c r="I273" i="1"/>
  <c r="P272" i="1"/>
  <c r="N272" i="1"/>
  <c r="I272" i="1"/>
  <c r="P271" i="1"/>
  <c r="M271" i="1"/>
  <c r="N271" i="1" s="1"/>
  <c r="I271" i="1"/>
  <c r="P270" i="1"/>
  <c r="M270" i="1"/>
  <c r="N270" i="1" s="1"/>
  <c r="I270" i="1"/>
  <c r="P269" i="1"/>
  <c r="M269" i="1"/>
  <c r="N269" i="1" s="1"/>
  <c r="I269" i="1"/>
  <c r="P268" i="1"/>
  <c r="M268" i="1"/>
  <c r="N268" i="1" s="1"/>
  <c r="I268" i="1"/>
  <c r="P267" i="1"/>
  <c r="N267" i="1"/>
  <c r="I267" i="1"/>
  <c r="P266" i="1"/>
  <c r="M266" i="1"/>
  <c r="N266" i="1" s="1"/>
  <c r="I266" i="1"/>
  <c r="P265" i="1"/>
  <c r="N265" i="1"/>
  <c r="I265" i="1"/>
  <c r="P264" i="1"/>
  <c r="M264" i="1"/>
  <c r="N264" i="1" s="1"/>
  <c r="I264" i="1"/>
  <c r="P263" i="1"/>
  <c r="N263" i="1"/>
  <c r="I263" i="1"/>
  <c r="P262" i="1"/>
  <c r="M262" i="1"/>
  <c r="N262" i="1" s="1"/>
  <c r="I262" i="1"/>
  <c r="P261" i="1"/>
  <c r="M261" i="1"/>
  <c r="N261" i="1" s="1"/>
  <c r="I261" i="1"/>
  <c r="P260" i="1"/>
  <c r="M260" i="1"/>
  <c r="N260" i="1" s="1"/>
  <c r="I260" i="1"/>
  <c r="P259" i="1"/>
  <c r="N259" i="1"/>
  <c r="I259" i="1"/>
  <c r="P258" i="1"/>
  <c r="M258" i="1"/>
  <c r="N258" i="1" s="1"/>
  <c r="I258" i="1"/>
  <c r="P257" i="1"/>
  <c r="M257" i="1"/>
  <c r="N257" i="1" s="1"/>
  <c r="I257" i="1"/>
  <c r="P256" i="1"/>
  <c r="M256" i="1"/>
  <c r="N256" i="1" s="1"/>
  <c r="I256" i="1"/>
  <c r="P255" i="1"/>
  <c r="M255" i="1"/>
  <c r="N255" i="1" s="1"/>
  <c r="I255" i="1"/>
  <c r="P254" i="1"/>
  <c r="N254" i="1"/>
  <c r="I254" i="1"/>
  <c r="P253" i="1"/>
  <c r="M253" i="1"/>
  <c r="N253" i="1" s="1"/>
  <c r="I253" i="1"/>
  <c r="P252" i="1"/>
  <c r="N252" i="1"/>
  <c r="I252" i="1"/>
  <c r="P251" i="1"/>
  <c r="N251" i="1"/>
  <c r="I251" i="1"/>
  <c r="P250" i="1"/>
  <c r="M250" i="1"/>
  <c r="N250" i="1" s="1"/>
  <c r="I250" i="1"/>
  <c r="P249" i="1"/>
  <c r="N249" i="1"/>
  <c r="I249" i="1"/>
  <c r="P248" i="1"/>
  <c r="N248" i="1"/>
  <c r="I248" i="1"/>
  <c r="P247" i="1"/>
  <c r="N247" i="1"/>
  <c r="I247" i="1"/>
  <c r="P246" i="1"/>
  <c r="N246" i="1"/>
  <c r="I246" i="1"/>
  <c r="P245" i="1"/>
  <c r="M245" i="1"/>
  <c r="N245" i="1" s="1"/>
  <c r="I245" i="1"/>
  <c r="P244" i="1"/>
  <c r="M244" i="1"/>
  <c r="N244" i="1" s="1"/>
  <c r="I244" i="1"/>
  <c r="P243" i="1"/>
  <c r="M243" i="1"/>
  <c r="N243" i="1" s="1"/>
  <c r="I243" i="1"/>
  <c r="P242" i="1"/>
  <c r="N242" i="1"/>
  <c r="I242" i="1"/>
  <c r="P241" i="1"/>
  <c r="M241" i="1"/>
  <c r="N241" i="1" s="1"/>
  <c r="I241" i="1"/>
  <c r="P240" i="1"/>
  <c r="M240" i="1"/>
  <c r="N240" i="1" s="1"/>
  <c r="I240" i="1"/>
  <c r="P239" i="1"/>
  <c r="M239" i="1"/>
  <c r="N239" i="1" s="1"/>
  <c r="I239" i="1"/>
  <c r="P238" i="1"/>
  <c r="M238" i="1"/>
  <c r="N238" i="1" s="1"/>
  <c r="I238" i="1"/>
  <c r="P237" i="1"/>
  <c r="N237" i="1"/>
  <c r="I237" i="1"/>
  <c r="P236" i="1"/>
  <c r="N236" i="1"/>
  <c r="I236" i="1"/>
  <c r="P235" i="1"/>
  <c r="N235" i="1"/>
  <c r="I235" i="1"/>
  <c r="P234" i="1"/>
  <c r="N234" i="1"/>
  <c r="I234" i="1"/>
  <c r="P233" i="1"/>
  <c r="N233" i="1"/>
  <c r="I233" i="1"/>
  <c r="P232" i="1"/>
  <c r="N232" i="1"/>
  <c r="I232" i="1"/>
  <c r="P231" i="1"/>
  <c r="N231" i="1"/>
  <c r="I231" i="1"/>
  <c r="P230" i="1"/>
  <c r="N230" i="1"/>
  <c r="I230" i="1"/>
  <c r="P229" i="1"/>
  <c r="M229" i="1"/>
  <c r="N229" i="1" s="1"/>
  <c r="I229" i="1"/>
  <c r="P228" i="1"/>
  <c r="N228" i="1"/>
  <c r="I228" i="1"/>
  <c r="P227" i="1"/>
  <c r="N227" i="1"/>
  <c r="I227" i="1"/>
  <c r="P226" i="1"/>
  <c r="N226" i="1"/>
  <c r="I226" i="1"/>
  <c r="P225" i="1"/>
  <c r="M225" i="1"/>
  <c r="N225" i="1" s="1"/>
  <c r="I225" i="1"/>
  <c r="P224" i="1"/>
  <c r="N224" i="1"/>
  <c r="I224" i="1"/>
  <c r="P223" i="1"/>
  <c r="N223" i="1"/>
  <c r="I223" i="1"/>
  <c r="P222" i="1"/>
  <c r="N222" i="1"/>
  <c r="I222" i="1"/>
  <c r="P221" i="1"/>
  <c r="N221" i="1"/>
  <c r="I221" i="1"/>
  <c r="P220" i="1"/>
  <c r="N220" i="1"/>
  <c r="I220" i="1"/>
  <c r="P219" i="1"/>
  <c r="N219" i="1"/>
  <c r="I219" i="1"/>
  <c r="P218" i="1"/>
  <c r="N218" i="1"/>
  <c r="I218" i="1"/>
  <c r="P217" i="1"/>
  <c r="N217" i="1"/>
  <c r="I217" i="1"/>
  <c r="P216" i="1"/>
  <c r="N216" i="1"/>
  <c r="I216" i="1"/>
  <c r="P215" i="1"/>
  <c r="N215" i="1"/>
  <c r="I215" i="1"/>
  <c r="P214" i="1"/>
  <c r="N214" i="1"/>
  <c r="I214" i="1"/>
  <c r="P213" i="1"/>
  <c r="N213" i="1"/>
  <c r="I213" i="1"/>
  <c r="P212" i="1"/>
  <c r="N212" i="1"/>
  <c r="I212" i="1"/>
  <c r="P211" i="1"/>
  <c r="N211" i="1"/>
  <c r="I211" i="1"/>
  <c r="P210" i="1"/>
  <c r="N210" i="1"/>
  <c r="I210" i="1"/>
  <c r="P209" i="1"/>
  <c r="N209" i="1"/>
  <c r="I209" i="1"/>
  <c r="P208" i="1"/>
  <c r="M208" i="1"/>
  <c r="N208" i="1" s="1"/>
  <c r="I208" i="1"/>
  <c r="P207" i="1"/>
  <c r="M207" i="1"/>
  <c r="N207" i="1" s="1"/>
  <c r="I207" i="1"/>
  <c r="P206" i="1"/>
  <c r="N206" i="1"/>
  <c r="I206" i="1"/>
  <c r="P205" i="1"/>
  <c r="M205" i="1"/>
  <c r="N205" i="1" s="1"/>
  <c r="I205" i="1"/>
  <c r="P204" i="1"/>
  <c r="N204" i="1"/>
  <c r="I204" i="1"/>
  <c r="P203" i="1"/>
  <c r="N203" i="1"/>
  <c r="I203" i="1"/>
  <c r="P202" i="1"/>
  <c r="N202" i="1"/>
  <c r="I202" i="1"/>
  <c r="P201" i="1"/>
  <c r="M201" i="1"/>
  <c r="N201" i="1" s="1"/>
  <c r="I201" i="1"/>
  <c r="P200" i="1"/>
  <c r="N200" i="1"/>
  <c r="M200" i="1"/>
  <c r="I200" i="1"/>
  <c r="P199" i="1"/>
  <c r="N199" i="1"/>
  <c r="I199" i="1"/>
  <c r="P198" i="1"/>
  <c r="N198" i="1"/>
  <c r="I198" i="1"/>
  <c r="P197" i="1"/>
  <c r="M197" i="1"/>
  <c r="N197" i="1" s="1"/>
  <c r="I197" i="1"/>
  <c r="P196" i="1"/>
  <c r="M196" i="1"/>
  <c r="N196" i="1" s="1"/>
  <c r="I196" i="1"/>
  <c r="P195" i="1"/>
  <c r="M195" i="1"/>
  <c r="N195" i="1" s="1"/>
  <c r="I195" i="1"/>
  <c r="P194" i="1"/>
  <c r="M194" i="1"/>
  <c r="N194" i="1" s="1"/>
  <c r="I194" i="1"/>
  <c r="P193" i="1"/>
  <c r="M193" i="1"/>
  <c r="N193" i="1" s="1"/>
  <c r="I193" i="1"/>
  <c r="P192" i="1"/>
  <c r="M192" i="1"/>
  <c r="N192" i="1" s="1"/>
  <c r="I192" i="1"/>
  <c r="P191" i="1"/>
  <c r="N191" i="1"/>
  <c r="I191" i="1"/>
  <c r="P190" i="1"/>
  <c r="N190" i="1"/>
  <c r="I190" i="1"/>
  <c r="P189" i="1"/>
  <c r="M189" i="1"/>
  <c r="N189" i="1" s="1"/>
  <c r="I189" i="1"/>
  <c r="P188" i="1"/>
  <c r="M188" i="1"/>
  <c r="N188" i="1" s="1"/>
  <c r="I188" i="1"/>
  <c r="P187" i="1"/>
  <c r="N187" i="1"/>
  <c r="M187" i="1"/>
  <c r="I187" i="1"/>
  <c r="P186" i="1"/>
  <c r="M186" i="1"/>
  <c r="N186" i="1" s="1"/>
  <c r="I186" i="1"/>
  <c r="P185" i="1"/>
  <c r="M185" i="1"/>
  <c r="N185" i="1" s="1"/>
  <c r="I185" i="1"/>
  <c r="P184" i="1"/>
  <c r="M184" i="1"/>
  <c r="N184" i="1" s="1"/>
  <c r="I184" i="1"/>
  <c r="P183" i="1"/>
  <c r="M183" i="1"/>
  <c r="N183" i="1" s="1"/>
  <c r="I183" i="1"/>
  <c r="P182" i="1"/>
  <c r="M182" i="1"/>
  <c r="N182" i="1" s="1"/>
  <c r="I182" i="1"/>
  <c r="P181" i="1"/>
  <c r="M181" i="1"/>
  <c r="N181" i="1" s="1"/>
  <c r="I181" i="1"/>
  <c r="P180" i="1"/>
  <c r="M180" i="1"/>
  <c r="N180" i="1" s="1"/>
  <c r="I180" i="1"/>
  <c r="P179" i="1"/>
  <c r="N179" i="1"/>
  <c r="M179" i="1"/>
  <c r="I179" i="1"/>
  <c r="P178" i="1"/>
  <c r="M178" i="1"/>
  <c r="N178" i="1" s="1"/>
  <c r="I178" i="1"/>
  <c r="P177" i="1"/>
  <c r="M177" i="1"/>
  <c r="N177" i="1" s="1"/>
  <c r="I177" i="1"/>
  <c r="P176" i="1"/>
  <c r="M176" i="1"/>
  <c r="N176" i="1" s="1"/>
  <c r="I176" i="1"/>
  <c r="P175" i="1"/>
  <c r="N175" i="1"/>
  <c r="M175" i="1"/>
  <c r="I175" i="1"/>
  <c r="P174" i="1"/>
  <c r="M174" i="1"/>
  <c r="N174" i="1" s="1"/>
  <c r="I174" i="1"/>
  <c r="P173" i="1"/>
  <c r="M173" i="1"/>
  <c r="N173" i="1" s="1"/>
  <c r="I173" i="1"/>
  <c r="P172" i="1"/>
  <c r="M172" i="1"/>
  <c r="N172" i="1" s="1"/>
  <c r="I172" i="1"/>
  <c r="P171" i="1"/>
  <c r="N171" i="1"/>
  <c r="M171" i="1"/>
  <c r="I171" i="1"/>
  <c r="P170" i="1"/>
  <c r="M170" i="1"/>
  <c r="N170" i="1" s="1"/>
  <c r="I170" i="1"/>
  <c r="P169" i="1"/>
  <c r="M169" i="1"/>
  <c r="N169" i="1" s="1"/>
  <c r="I169" i="1"/>
  <c r="P168" i="1"/>
  <c r="M168" i="1"/>
  <c r="N168" i="1" s="1"/>
  <c r="I168" i="1"/>
  <c r="P167" i="1"/>
  <c r="N167" i="1"/>
  <c r="I167" i="1"/>
  <c r="P166" i="1"/>
  <c r="N166" i="1"/>
  <c r="M166" i="1"/>
  <c r="I166" i="1"/>
  <c r="P165" i="1"/>
  <c r="M165" i="1"/>
  <c r="N165" i="1" s="1"/>
  <c r="I165" i="1"/>
  <c r="P164" i="1"/>
  <c r="M164" i="1"/>
  <c r="N164" i="1" s="1"/>
  <c r="I164" i="1"/>
  <c r="P163" i="1"/>
  <c r="N163" i="1"/>
  <c r="I163" i="1"/>
  <c r="P162" i="1"/>
  <c r="M162" i="1"/>
  <c r="N162" i="1" s="1"/>
  <c r="I162" i="1"/>
  <c r="P161" i="1"/>
  <c r="N161" i="1"/>
  <c r="I161" i="1"/>
  <c r="P160" i="1"/>
  <c r="M160" i="1"/>
  <c r="N160" i="1" s="1"/>
  <c r="I160" i="1"/>
  <c r="P159" i="1"/>
  <c r="M159" i="1"/>
  <c r="N159" i="1" s="1"/>
  <c r="I159" i="1"/>
  <c r="P158" i="1"/>
  <c r="N158" i="1"/>
  <c r="I158" i="1"/>
  <c r="P157" i="1"/>
  <c r="M157" i="1"/>
  <c r="N157" i="1" s="1"/>
  <c r="I157" i="1"/>
  <c r="P156" i="1"/>
  <c r="M156" i="1"/>
  <c r="N156" i="1" s="1"/>
  <c r="I156" i="1"/>
  <c r="P155" i="1"/>
  <c r="M155" i="1"/>
  <c r="N155" i="1" s="1"/>
  <c r="I155" i="1"/>
  <c r="P154" i="1"/>
  <c r="M154" i="1"/>
  <c r="N154" i="1" s="1"/>
  <c r="I154" i="1"/>
  <c r="P153" i="1"/>
  <c r="M153" i="1"/>
  <c r="N153" i="1" s="1"/>
  <c r="I153" i="1"/>
  <c r="P152" i="1"/>
  <c r="M152" i="1"/>
  <c r="N152" i="1" s="1"/>
  <c r="I152" i="1"/>
  <c r="P151" i="1"/>
  <c r="M151" i="1"/>
  <c r="N151" i="1" s="1"/>
  <c r="I151" i="1"/>
  <c r="P150" i="1"/>
  <c r="M150" i="1"/>
  <c r="N150" i="1" s="1"/>
  <c r="I150" i="1"/>
  <c r="P149" i="1"/>
  <c r="N149" i="1"/>
  <c r="I149" i="1"/>
  <c r="P148" i="1"/>
  <c r="M148" i="1"/>
  <c r="N148" i="1" s="1"/>
  <c r="I148" i="1"/>
  <c r="P147" i="1"/>
  <c r="M147" i="1"/>
  <c r="N147" i="1" s="1"/>
  <c r="I147" i="1"/>
  <c r="P146" i="1"/>
  <c r="M146" i="1"/>
  <c r="N146" i="1" s="1"/>
  <c r="I146" i="1"/>
  <c r="P145" i="1"/>
  <c r="N145" i="1"/>
  <c r="I145" i="1"/>
  <c r="P144" i="1"/>
  <c r="M144" i="1"/>
  <c r="N144" i="1" s="1"/>
  <c r="I144" i="1"/>
  <c r="P143" i="1"/>
  <c r="M143" i="1"/>
  <c r="N143" i="1" s="1"/>
  <c r="I143" i="1"/>
  <c r="P142" i="1"/>
  <c r="M142" i="1"/>
  <c r="N142" i="1" s="1"/>
  <c r="I142" i="1"/>
  <c r="P141" i="1"/>
  <c r="N141" i="1"/>
  <c r="I141" i="1"/>
  <c r="P140" i="1"/>
  <c r="M140" i="1"/>
  <c r="N140" i="1" s="1"/>
  <c r="I140" i="1"/>
  <c r="P139" i="1"/>
  <c r="M139" i="1"/>
  <c r="N139" i="1" s="1"/>
  <c r="I139" i="1"/>
  <c r="P138" i="1"/>
  <c r="M138" i="1"/>
  <c r="N138" i="1" s="1"/>
  <c r="I138" i="1"/>
  <c r="P137" i="1"/>
  <c r="M137" i="1"/>
  <c r="N137" i="1" s="1"/>
  <c r="I137" i="1"/>
  <c r="P136" i="1"/>
  <c r="M136" i="1"/>
  <c r="N136" i="1" s="1"/>
  <c r="I136" i="1"/>
  <c r="P135" i="1"/>
  <c r="M135" i="1"/>
  <c r="N135" i="1" s="1"/>
  <c r="I135" i="1"/>
  <c r="P134" i="1"/>
  <c r="M134" i="1"/>
  <c r="N134" i="1" s="1"/>
  <c r="I134" i="1"/>
  <c r="P133" i="1"/>
  <c r="M133" i="1"/>
  <c r="N133" i="1" s="1"/>
  <c r="I133" i="1"/>
  <c r="P132" i="1"/>
  <c r="N132" i="1"/>
  <c r="I132" i="1"/>
  <c r="P131" i="1"/>
  <c r="N131" i="1"/>
  <c r="I131" i="1"/>
  <c r="P130" i="1"/>
  <c r="M130" i="1"/>
  <c r="N130" i="1" s="1"/>
  <c r="I130" i="1"/>
  <c r="P129" i="1"/>
  <c r="N129" i="1"/>
  <c r="I129" i="1"/>
  <c r="P128" i="1"/>
  <c r="N128" i="1"/>
  <c r="I128" i="1"/>
  <c r="P127" i="1"/>
  <c r="M127" i="1"/>
  <c r="N127" i="1" s="1"/>
  <c r="I127" i="1"/>
  <c r="P126" i="1"/>
  <c r="M126" i="1"/>
  <c r="N126" i="1" s="1"/>
  <c r="I126" i="1"/>
  <c r="P125" i="1"/>
  <c r="M125" i="1"/>
  <c r="N125" i="1" s="1"/>
  <c r="I125" i="1"/>
  <c r="P124" i="1"/>
  <c r="M124" i="1"/>
  <c r="N124" i="1" s="1"/>
  <c r="I124" i="1"/>
  <c r="P123" i="1"/>
  <c r="M123" i="1"/>
  <c r="N123" i="1" s="1"/>
  <c r="I123" i="1"/>
  <c r="P122" i="1"/>
  <c r="M122" i="1"/>
  <c r="N122" i="1" s="1"/>
  <c r="I122" i="1"/>
  <c r="P121" i="1"/>
  <c r="M121" i="1"/>
  <c r="N121" i="1" s="1"/>
  <c r="L121" i="1"/>
  <c r="I121" i="1"/>
  <c r="P120" i="1"/>
  <c r="M120" i="1"/>
  <c r="N120" i="1" s="1"/>
  <c r="I120" i="1"/>
  <c r="P119" i="1"/>
  <c r="M119" i="1"/>
  <c r="N119" i="1" s="1"/>
  <c r="I119" i="1"/>
  <c r="P118" i="1"/>
  <c r="M118" i="1"/>
  <c r="N118" i="1" s="1"/>
  <c r="I118" i="1"/>
  <c r="P117" i="1"/>
  <c r="M117" i="1"/>
  <c r="N117" i="1" s="1"/>
  <c r="I117" i="1"/>
  <c r="P116" i="1"/>
  <c r="M116" i="1"/>
  <c r="N116" i="1" s="1"/>
  <c r="I116" i="1"/>
  <c r="P115" i="1"/>
  <c r="M115" i="1"/>
  <c r="N115" i="1" s="1"/>
  <c r="I115" i="1"/>
  <c r="P114" i="1"/>
  <c r="M114" i="1"/>
  <c r="N114" i="1" s="1"/>
  <c r="I114" i="1"/>
  <c r="P113" i="1"/>
  <c r="M113" i="1"/>
  <c r="N113" i="1" s="1"/>
  <c r="I113" i="1"/>
  <c r="P112" i="1"/>
  <c r="M112" i="1"/>
  <c r="N112" i="1" s="1"/>
  <c r="I112" i="1"/>
  <c r="P111" i="1"/>
  <c r="M111" i="1"/>
  <c r="N111" i="1" s="1"/>
  <c r="I111" i="1"/>
  <c r="P110" i="1"/>
  <c r="N110" i="1"/>
  <c r="M110" i="1"/>
  <c r="I110" i="1"/>
  <c r="P109" i="1"/>
  <c r="M109" i="1"/>
  <c r="N109" i="1" s="1"/>
  <c r="I109" i="1"/>
  <c r="P108" i="1"/>
  <c r="M108" i="1"/>
  <c r="N108" i="1" s="1"/>
  <c r="I108" i="1"/>
  <c r="P107" i="1"/>
  <c r="M107" i="1"/>
  <c r="N107" i="1" s="1"/>
  <c r="I107" i="1"/>
  <c r="P106" i="1"/>
  <c r="M106" i="1"/>
  <c r="N106" i="1" s="1"/>
  <c r="I106" i="1"/>
  <c r="P105" i="1"/>
  <c r="M105" i="1"/>
  <c r="N105" i="1" s="1"/>
  <c r="I105" i="1"/>
  <c r="P104" i="1"/>
  <c r="M104" i="1"/>
  <c r="N104" i="1" s="1"/>
  <c r="I104" i="1"/>
  <c r="P103" i="1"/>
  <c r="M103" i="1"/>
  <c r="N103" i="1" s="1"/>
  <c r="I103" i="1"/>
  <c r="P102" i="1"/>
  <c r="M102" i="1"/>
  <c r="N102" i="1" s="1"/>
  <c r="I102" i="1"/>
  <c r="P101" i="1"/>
  <c r="N101" i="1"/>
  <c r="I101" i="1"/>
  <c r="P100" i="1"/>
  <c r="M100" i="1"/>
  <c r="N100" i="1" s="1"/>
  <c r="I100" i="1"/>
  <c r="P99" i="1"/>
  <c r="M99" i="1"/>
  <c r="N99" i="1" s="1"/>
  <c r="I99" i="1"/>
  <c r="P98" i="1"/>
  <c r="M98" i="1"/>
  <c r="N98" i="1" s="1"/>
  <c r="I98" i="1"/>
  <c r="P97" i="1"/>
  <c r="M97" i="1"/>
  <c r="N97" i="1" s="1"/>
  <c r="I97" i="1"/>
  <c r="P96" i="1"/>
  <c r="M96" i="1"/>
  <c r="N96" i="1" s="1"/>
  <c r="I96" i="1"/>
  <c r="P95" i="1"/>
  <c r="M95" i="1"/>
  <c r="N95" i="1" s="1"/>
  <c r="I95" i="1"/>
  <c r="P94" i="1"/>
  <c r="M94" i="1"/>
  <c r="N94" i="1" s="1"/>
  <c r="I94" i="1"/>
  <c r="P93" i="1"/>
  <c r="M93" i="1"/>
  <c r="N93" i="1" s="1"/>
  <c r="I93" i="1"/>
  <c r="P92" i="1"/>
  <c r="M92" i="1"/>
  <c r="N92" i="1" s="1"/>
  <c r="I92" i="1"/>
  <c r="P91" i="1"/>
  <c r="M91" i="1"/>
  <c r="N91" i="1" s="1"/>
  <c r="I91" i="1"/>
  <c r="P90" i="1"/>
  <c r="M90" i="1"/>
  <c r="N90" i="1" s="1"/>
  <c r="I90" i="1"/>
  <c r="P89" i="1"/>
  <c r="M89" i="1"/>
  <c r="N89" i="1" s="1"/>
  <c r="I89" i="1"/>
  <c r="P88" i="1"/>
  <c r="M88" i="1"/>
  <c r="N88" i="1" s="1"/>
  <c r="I88" i="1"/>
  <c r="P87" i="1"/>
  <c r="M87" i="1"/>
  <c r="N87" i="1" s="1"/>
  <c r="I87" i="1"/>
  <c r="P86" i="1"/>
  <c r="M86" i="1"/>
  <c r="N86" i="1" s="1"/>
  <c r="I86" i="1"/>
  <c r="P85" i="1"/>
  <c r="M85" i="1"/>
  <c r="N85" i="1" s="1"/>
  <c r="I85" i="1"/>
  <c r="P84" i="1"/>
  <c r="M84" i="1"/>
  <c r="N84" i="1" s="1"/>
  <c r="I84" i="1"/>
  <c r="P83" i="1"/>
  <c r="M83" i="1"/>
  <c r="N83" i="1" s="1"/>
  <c r="I83" i="1"/>
  <c r="P82" i="1"/>
  <c r="M82" i="1"/>
  <c r="N82" i="1" s="1"/>
  <c r="I82" i="1"/>
  <c r="P81" i="1"/>
  <c r="M81" i="1"/>
  <c r="N81" i="1" s="1"/>
  <c r="I81" i="1"/>
  <c r="P80" i="1"/>
  <c r="M80" i="1"/>
  <c r="N80" i="1" s="1"/>
  <c r="I80" i="1"/>
  <c r="P79" i="1"/>
  <c r="M79" i="1"/>
  <c r="N79" i="1" s="1"/>
  <c r="I79" i="1"/>
  <c r="P78" i="1"/>
  <c r="M78" i="1"/>
  <c r="N78" i="1" s="1"/>
  <c r="I78" i="1"/>
  <c r="P77" i="1"/>
  <c r="M77" i="1"/>
  <c r="N77" i="1" s="1"/>
  <c r="I77" i="1"/>
  <c r="P76" i="1"/>
  <c r="L76" i="1"/>
  <c r="M76" i="1" s="1"/>
  <c r="N76" i="1" s="1"/>
  <c r="I76" i="1"/>
  <c r="P75" i="1"/>
  <c r="M75" i="1"/>
  <c r="N75" i="1" s="1"/>
  <c r="I75" i="1"/>
  <c r="P74" i="1"/>
  <c r="M74" i="1"/>
  <c r="N74" i="1" s="1"/>
  <c r="I74" i="1"/>
  <c r="P73" i="1"/>
  <c r="M73" i="1"/>
  <c r="N73" i="1" s="1"/>
  <c r="I73" i="1"/>
  <c r="P72" i="1"/>
  <c r="M72" i="1"/>
  <c r="N72" i="1" s="1"/>
  <c r="I72" i="1"/>
  <c r="P71" i="1"/>
  <c r="M71" i="1"/>
  <c r="N71" i="1" s="1"/>
  <c r="I71" i="1"/>
  <c r="P70" i="1"/>
  <c r="M70" i="1"/>
  <c r="N70" i="1" s="1"/>
  <c r="I70" i="1"/>
  <c r="P69" i="1"/>
  <c r="M69" i="1"/>
  <c r="N69" i="1" s="1"/>
  <c r="I69" i="1"/>
  <c r="P68" i="1"/>
  <c r="M68" i="1"/>
  <c r="N68" i="1" s="1"/>
  <c r="I68" i="1"/>
  <c r="P67" i="1"/>
  <c r="M67" i="1"/>
  <c r="N67" i="1" s="1"/>
  <c r="I67" i="1"/>
  <c r="P66" i="1"/>
  <c r="M66" i="1"/>
  <c r="N66" i="1" s="1"/>
  <c r="I66" i="1"/>
  <c r="P65" i="1"/>
  <c r="M65" i="1"/>
  <c r="N65" i="1" s="1"/>
  <c r="I65" i="1"/>
  <c r="P64" i="1"/>
  <c r="M64" i="1"/>
  <c r="N64" i="1" s="1"/>
  <c r="I64" i="1"/>
  <c r="P63" i="1"/>
  <c r="M63" i="1"/>
  <c r="N63" i="1" s="1"/>
  <c r="I63" i="1"/>
  <c r="P62" i="1"/>
  <c r="M62" i="1"/>
  <c r="N62" i="1" s="1"/>
  <c r="I62" i="1"/>
  <c r="P61" i="1"/>
  <c r="M61" i="1"/>
  <c r="N61" i="1" s="1"/>
  <c r="I61" i="1"/>
  <c r="P60" i="1"/>
  <c r="M60" i="1"/>
  <c r="N60" i="1" s="1"/>
  <c r="I60" i="1"/>
  <c r="P59" i="1"/>
  <c r="M59" i="1"/>
  <c r="N59" i="1" s="1"/>
  <c r="I59" i="1"/>
  <c r="P58" i="1"/>
  <c r="N58" i="1"/>
  <c r="M58" i="1"/>
  <c r="I58" i="1"/>
  <c r="P57" i="1"/>
  <c r="M57" i="1"/>
  <c r="N57" i="1" s="1"/>
  <c r="I57" i="1"/>
  <c r="P56" i="1"/>
  <c r="M56" i="1"/>
  <c r="N56" i="1" s="1"/>
  <c r="I56" i="1"/>
  <c r="P55" i="1"/>
  <c r="M55" i="1"/>
  <c r="N55" i="1" s="1"/>
  <c r="L55" i="1"/>
  <c r="I55" i="1"/>
  <c r="P54" i="1"/>
  <c r="M54" i="1"/>
  <c r="N54" i="1" s="1"/>
  <c r="I54" i="1"/>
  <c r="P53" i="1"/>
  <c r="M53" i="1"/>
  <c r="N53" i="1" s="1"/>
  <c r="I53" i="1"/>
  <c r="P52" i="1"/>
  <c r="M52" i="1"/>
  <c r="N52" i="1" s="1"/>
  <c r="I52" i="1"/>
  <c r="P51" i="1"/>
  <c r="M51" i="1"/>
  <c r="N51" i="1" s="1"/>
  <c r="I51" i="1"/>
  <c r="P50" i="1"/>
  <c r="M50" i="1"/>
  <c r="N50" i="1" s="1"/>
  <c r="I50" i="1"/>
  <c r="P49" i="1"/>
  <c r="M49" i="1"/>
  <c r="N49" i="1" s="1"/>
  <c r="I49" i="1"/>
  <c r="P48" i="1"/>
  <c r="M48" i="1"/>
  <c r="N48" i="1" s="1"/>
  <c r="I48" i="1"/>
  <c r="P47" i="1"/>
  <c r="M47" i="1"/>
  <c r="N47" i="1" s="1"/>
  <c r="I47" i="1"/>
  <c r="P46" i="1"/>
  <c r="M46" i="1"/>
  <c r="N46" i="1" s="1"/>
  <c r="I46" i="1"/>
  <c r="P45" i="1"/>
  <c r="M45" i="1"/>
  <c r="N45" i="1" s="1"/>
  <c r="I45" i="1"/>
  <c r="P44" i="1"/>
  <c r="M44" i="1"/>
  <c r="N44" i="1" s="1"/>
  <c r="I44" i="1"/>
  <c r="P43" i="1"/>
  <c r="M43" i="1"/>
  <c r="N43" i="1" s="1"/>
  <c r="I43" i="1"/>
  <c r="P42" i="1"/>
  <c r="M42" i="1"/>
  <c r="N42" i="1" s="1"/>
  <c r="I42" i="1"/>
  <c r="P41" i="1"/>
  <c r="M41" i="1"/>
  <c r="N41" i="1" s="1"/>
  <c r="I41" i="1"/>
  <c r="P40" i="1"/>
  <c r="M40" i="1"/>
  <c r="N40" i="1" s="1"/>
  <c r="I40" i="1"/>
  <c r="P39" i="1"/>
  <c r="N39" i="1"/>
  <c r="I39" i="1"/>
  <c r="P38" i="1"/>
  <c r="M38" i="1"/>
  <c r="N38" i="1" s="1"/>
  <c r="I38" i="1"/>
  <c r="P37" i="1"/>
  <c r="M37" i="1"/>
  <c r="N37" i="1" s="1"/>
  <c r="I37" i="1"/>
  <c r="P36" i="1"/>
  <c r="N36" i="1"/>
  <c r="I36" i="1"/>
  <c r="P35" i="1"/>
  <c r="M35" i="1"/>
  <c r="N35" i="1" s="1"/>
  <c r="I35" i="1"/>
  <c r="P34" i="1"/>
  <c r="M34" i="1"/>
  <c r="N34" i="1" s="1"/>
  <c r="I34" i="1"/>
  <c r="P33" i="1"/>
  <c r="M33" i="1"/>
  <c r="N33" i="1" s="1"/>
  <c r="I33" i="1"/>
  <c r="P32" i="1"/>
  <c r="M32" i="1"/>
  <c r="N32" i="1" s="1"/>
  <c r="I32" i="1"/>
  <c r="P31" i="1"/>
  <c r="M31" i="1"/>
  <c r="N31" i="1" s="1"/>
  <c r="I31" i="1"/>
  <c r="P30" i="1"/>
  <c r="M30" i="1"/>
  <c r="N30" i="1" s="1"/>
  <c r="I30" i="1"/>
  <c r="P29" i="1"/>
  <c r="M29" i="1"/>
  <c r="N29" i="1" s="1"/>
  <c r="I29" i="1"/>
  <c r="P28" i="1"/>
  <c r="M28" i="1"/>
  <c r="N28" i="1" s="1"/>
  <c r="I28" i="1"/>
  <c r="P27" i="1"/>
  <c r="M27" i="1"/>
  <c r="N27" i="1" s="1"/>
  <c r="I27" i="1"/>
  <c r="P26" i="1"/>
  <c r="M26" i="1"/>
  <c r="N26" i="1" s="1"/>
  <c r="I26" i="1"/>
  <c r="P25" i="1"/>
  <c r="M25" i="1"/>
  <c r="N25" i="1" s="1"/>
  <c r="I25" i="1"/>
  <c r="P24" i="1"/>
  <c r="M24" i="1"/>
  <c r="N24" i="1" s="1"/>
  <c r="I24" i="1"/>
  <c r="P23" i="1"/>
  <c r="M23" i="1"/>
  <c r="N23" i="1" s="1"/>
  <c r="I23" i="1"/>
  <c r="P22" i="1"/>
  <c r="M22" i="1"/>
  <c r="N22" i="1" s="1"/>
  <c r="I22" i="1"/>
  <c r="P21" i="1"/>
  <c r="M21" i="1"/>
  <c r="N21" i="1" s="1"/>
  <c r="I21" i="1"/>
  <c r="P20" i="1"/>
  <c r="M20" i="1"/>
  <c r="N20" i="1" s="1"/>
  <c r="I20" i="1"/>
  <c r="P19" i="1"/>
  <c r="M19" i="1"/>
  <c r="N19" i="1" s="1"/>
  <c r="I19" i="1"/>
  <c r="P18" i="1"/>
  <c r="M18" i="1"/>
  <c r="N18" i="1" s="1"/>
  <c r="I18" i="1"/>
  <c r="P17" i="1"/>
  <c r="M17" i="1"/>
  <c r="N17" i="1" s="1"/>
  <c r="I17" i="1"/>
  <c r="P16" i="1"/>
  <c r="M16" i="1"/>
  <c r="N16" i="1" s="1"/>
  <c r="I16" i="1"/>
  <c r="P15" i="1"/>
  <c r="M15" i="1"/>
  <c r="N15" i="1" s="1"/>
  <c r="I15" i="1"/>
  <c r="P14" i="1"/>
  <c r="M14" i="1"/>
  <c r="N14" i="1" s="1"/>
  <c r="I14" i="1"/>
  <c r="P13" i="1"/>
  <c r="M13" i="1"/>
  <c r="N13" i="1" s="1"/>
  <c r="I13" i="1"/>
  <c r="P12" i="1"/>
  <c r="M12" i="1"/>
  <c r="N12" i="1" s="1"/>
  <c r="I12" i="1"/>
  <c r="P11" i="1"/>
  <c r="M11" i="1"/>
  <c r="N11" i="1" s="1"/>
  <c r="I11" i="1"/>
  <c r="P10" i="1"/>
  <c r="M10" i="1"/>
  <c r="N10" i="1" s="1"/>
  <c r="I10" i="1"/>
  <c r="P9" i="1"/>
  <c r="M9" i="1"/>
  <c r="N9" i="1" s="1"/>
  <c r="I9" i="1"/>
  <c r="P8" i="1"/>
  <c r="M8" i="1"/>
  <c r="N8" i="1" s="1"/>
  <c r="I8" i="1"/>
  <c r="P7" i="1"/>
  <c r="M7" i="1"/>
  <c r="N7" i="1" s="1"/>
  <c r="I7" i="1"/>
  <c r="P6" i="1"/>
  <c r="M6" i="1"/>
  <c r="N6" i="1" s="1"/>
  <c r="I6" i="1"/>
  <c r="P5" i="1"/>
  <c r="M5" i="1"/>
  <c r="N5" i="1" s="1"/>
  <c r="I5" i="1"/>
  <c r="P4" i="1"/>
  <c r="M4" i="1"/>
  <c r="N4" i="1" s="1"/>
  <c r="I4" i="1"/>
  <c r="P3" i="1"/>
  <c r="M3" i="1"/>
  <c r="N3" i="1" s="1"/>
  <c r="I3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x:ext xmlns:x="http://schemas.openxmlformats.org/spreadsheetml/2006/main" uri="{bdbb8cdc-fa1e-496e-a857-3c3f30c029c3}"/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<sst xmlns="http://schemas.openxmlformats.org/spreadsheetml/2006/main" count="2628" uniqueCount="1087">
  <si>
    <t>BASE CONDICIONES Y ACCIONES  INSEGURAS 2026</t>
  </si>
  <si>
    <t xml:space="preserve">NÚMERO </t>
  </si>
  <si>
    <t>FECHA DEL REPORTE</t>
  </si>
  <si>
    <t>ACCIÓN/ CONDICIÓN</t>
  </si>
  <si>
    <t>Detalle</t>
  </si>
  <si>
    <t>RIESGOS</t>
  </si>
  <si>
    <t>PRIORIZACIÓN</t>
  </si>
  <si>
    <t>ÁREA</t>
  </si>
  <si>
    <t>LUGAR / MAQUINA / EQUIPO</t>
  </si>
  <si>
    <t>RESPONSABLE DE ÁREA</t>
  </si>
  <si>
    <t>ACCION CORRECTIVA</t>
  </si>
  <si>
    <t>RESPONSABLE DE CIERRE</t>
  </si>
  <si>
    <t>FECHA PROPUESTA DE CIERRE</t>
  </si>
  <si>
    <t xml:space="preserve">FECHA REAL DE CIERRE </t>
  </si>
  <si>
    <t>ESTADO</t>
  </si>
  <si>
    <t>Evidencia Fotográfica</t>
  </si>
  <si>
    <t>Acción Insegura</t>
  </si>
  <si>
    <t>Sin gafas (EDI YOEL CAISAGUANO CHUQUITARCO)</t>
  </si>
  <si>
    <t xml:space="preserve">Proyección de partículas a los ojos </t>
  </si>
  <si>
    <t>Nivel 3 – Moderado
 (Riesgo controlable)</t>
  </si>
  <si>
    <t>Corte &amp; Conformado</t>
  </si>
  <si>
    <t>Cizalla 1</t>
  </si>
  <si>
    <t>acercamiento al colaborador</t>
  </si>
  <si>
    <t>Condición Insegura</t>
  </si>
  <si>
    <t xml:space="preserve">Escalera de Tecoi Doblada </t>
  </si>
  <si>
    <t>Caídas a distinto Nivel</t>
  </si>
  <si>
    <t>Tecoi</t>
  </si>
  <si>
    <t xml:space="preserve">Se notifica al supervisor encargado </t>
  </si>
  <si>
    <t xml:space="preserve">Faja en mal estado </t>
  </si>
  <si>
    <t xml:space="preserve">aplastamiento </t>
  </si>
  <si>
    <t>Soldadura</t>
  </si>
  <si>
    <t>cambio urgente de faja</t>
  </si>
  <si>
    <t>Alfajías Rotas</t>
  </si>
  <si>
    <t>Pasos Peatonales</t>
  </si>
  <si>
    <t>retiro urgente de alfajía</t>
  </si>
  <si>
    <t>Productos químicos sin identificación</t>
  </si>
  <si>
    <t>Manipulación inadecuada, uso incorrecto, derrames.</t>
  </si>
  <si>
    <t>Cambio de envase y etiquetado del producto.</t>
  </si>
  <si>
    <t>Eslinga de cadena rota</t>
  </si>
  <si>
    <t>aplastamiento, caída de material, uso inadecuado</t>
  </si>
  <si>
    <t xml:space="preserve">Se informo al supervisor a cargo para la retirada de la cadena </t>
  </si>
  <si>
    <t xml:space="preserve">paso peatonal Obstaculizado </t>
  </si>
  <si>
    <t>Caída de material, aplastamiento</t>
  </si>
  <si>
    <t xml:space="preserve">Se informo al supervisor a cargo para la retiro del material </t>
  </si>
  <si>
    <t xml:space="preserve">El Sr. Jordy Hurtado sin chompa Jean en el área de soldadura </t>
  </si>
  <si>
    <t>Quemaduras, proyección de partículas</t>
  </si>
  <si>
    <t xml:space="preserve">Se hizo un acercamiento al sr Jordy Hurtado y al asistente de supervisor Marco choto. </t>
  </si>
  <si>
    <t xml:space="preserve">Material obstaculizando paso peatonal </t>
  </si>
  <si>
    <t xml:space="preserve">Caídas al mismo nivel </t>
  </si>
  <si>
    <t xml:space="preserve">Pintura </t>
  </si>
  <si>
    <t xml:space="preserve">Caja eléctrica sin tapa </t>
  </si>
  <si>
    <t>Riesgo de electrocución
caída al mismo nivel</t>
  </si>
  <si>
    <t>Proyectos Internos</t>
  </si>
  <si>
    <t xml:space="preserve">Colocación de tapa a caja eléctrica </t>
  </si>
  <si>
    <t>Paneles</t>
  </si>
  <si>
    <t xml:space="preserve">Se realiza el cambio de faja </t>
  </si>
  <si>
    <t>El sr Luis Stalin Vasquez  se encontraba trabajando en la tina de zinc sin el mandil adecuado.</t>
  </si>
  <si>
    <t>Viales</t>
  </si>
  <si>
    <t>Galvanizado</t>
  </si>
  <si>
    <t xml:space="preserve">Acercamiento al colaborador para que se coloque el mandil </t>
  </si>
  <si>
    <t xml:space="preserve">Sr. Marcelo Guitron sin gafas </t>
  </si>
  <si>
    <t xml:space="preserve">Proyección de partículas a los ojos 
</t>
  </si>
  <si>
    <t>Acercamiento al colaborador para que se coloque las gafas</t>
  </si>
  <si>
    <t xml:space="preserve">Tanques de  GLP sin la cadena de seguridad </t>
  </si>
  <si>
    <t xml:space="preserve">Aplastamiento </t>
  </si>
  <si>
    <t>Pintura</t>
  </si>
  <si>
    <t xml:space="preserve">Se informa al supervisor de la condición y se procede a solventar la condición </t>
  </si>
  <si>
    <t xml:space="preserve">Ducha de emergencia y lavamanos sin presión de agua </t>
  </si>
  <si>
    <t xml:space="preserve">Quemaduras, intoxicación </t>
  </si>
  <si>
    <t>Mantenimiento Eléctrico</t>
  </si>
  <si>
    <t xml:space="preserve">Se procede a informar y pedir de manera urgente que se solvente esta condición. </t>
  </si>
  <si>
    <t xml:space="preserve">Bonina sin topes de seguridad </t>
  </si>
  <si>
    <t>Logística</t>
  </si>
  <si>
    <t xml:space="preserve">Se procede a poner topes en la bonina y se reporta al área de logista </t>
  </si>
  <si>
    <t xml:space="preserve">Pluma elevada </t>
  </si>
  <si>
    <t>Prensa 1000</t>
  </si>
  <si>
    <t>Químicos sin el HMISS III</t>
  </si>
  <si>
    <t>Intoxicación</t>
  </si>
  <si>
    <t>Se informa la supervisor y procede a solventar la condición</t>
  </si>
  <si>
    <t>Piso de la Novalosa 76¨</t>
  </si>
  <si>
    <t xml:space="preserve"> la estructura oreja de izaje rota</t>
  </si>
  <si>
    <t>Se identifica realizando izaje de estructura con equipo no adecuado</t>
  </si>
  <si>
    <t xml:space="preserve">se realiza llamado de atención verbal al señor Luis Catagña y se informa al supervisor para la debida retroalimentación </t>
  </si>
  <si>
    <t xml:space="preserve">Tapa abierta en el área de soldadura </t>
  </si>
  <si>
    <t xml:space="preserve">Caída a distinto nivel </t>
  </si>
  <si>
    <t>Se informa a supervisor y procede a dar retroalimentación</t>
  </si>
  <si>
    <t>tapa de  la granalla abierta sin señalización</t>
  </si>
  <si>
    <t xml:space="preserve">Caídas a diferente nivel </t>
  </si>
  <si>
    <t xml:space="preserve">Bobina sobre el agua </t>
  </si>
  <si>
    <t xml:space="preserve">ciada al mismo nivel 
aplastamiento </t>
  </si>
  <si>
    <t xml:space="preserve">se Procede a colocar a debajo de la bobina tablas </t>
  </si>
  <si>
    <t xml:space="preserve">Paso peatón obstaculizado </t>
  </si>
  <si>
    <t xml:space="preserve">Se informar al supervisor para el retiro de los obstáculos </t>
  </si>
  <si>
    <t xml:space="preserve">Espacio limitado para el trabajo y movimiento de la bobina </t>
  </si>
  <si>
    <t xml:space="preserve">Caída al mismo nivel 
golpe </t>
  </si>
  <si>
    <t xml:space="preserve">Se coordina con el encargado de obra para solventar la condición </t>
  </si>
  <si>
    <t>ausencia de guardas de protección en la zona de rodillos y mecanismos de ajuste del equipo de la máquina SLITTER</t>
  </si>
  <si>
    <t xml:space="preserve">Atrapamiento de manos 
Aplastamiento  de manos
cortes de manos </t>
  </si>
  <si>
    <t>Implementar guardas físicas o protectores metálicos que impidan el acceso directo a los puntos de atrapamiento.</t>
  </si>
  <si>
    <t xml:space="preserve">Apilamiento incorrecto de material </t>
  </si>
  <si>
    <t>Se Procede a informar al supervisor encargado para solventar de la condición</t>
  </si>
  <si>
    <t xml:space="preserve">Paso peatonal obstaculizado </t>
  </si>
  <si>
    <t xml:space="preserve">Caída a distinto nivel 
Cortes
Aplastamiento </t>
  </si>
  <si>
    <t xml:space="preserve">Se solicita el cambio de la faja de inmediato </t>
  </si>
  <si>
    <t xml:space="preserve">Zona de apilamiento con altura que supera 1.80m no permitido </t>
  </si>
  <si>
    <t>Aplastamiento 
caída de material</t>
  </si>
  <si>
    <t xml:space="preserve">Se Procede a informar al supervisor encargado para organizar de mejor manera el producto </t>
  </si>
  <si>
    <t>No se advierte el riesgo en máquina de producción</t>
  </si>
  <si>
    <t xml:space="preserve">Se procede a colocar la señalética correspondiente </t>
  </si>
  <si>
    <t xml:space="preserve">tapa de  la granalla abierta sin señalización, sin delimitación y sin PTE  para espacios confinados </t>
  </si>
  <si>
    <t xml:space="preserve">Caída a distinto nivel 
</t>
  </si>
  <si>
    <t xml:space="preserve">Se informa a supervisor para solventar la condición y Realizar el PTE correspondiente </t>
  </si>
  <si>
    <t>Se evidencia el uso de un dispositivo de izaje hechizo (fabricación artesanal) compuesto por perfiles metálicos soldados y una cadena, el cual no cuenta con identificación técnica, placa de capacidad de carga ni certificación</t>
  </si>
  <si>
    <t xml:space="preserve">Se solicita que se retire de inmediato esta herramienta hechiza por falta de certificación </t>
  </si>
  <si>
    <t xml:space="preserve">Tijera de izaje en mal estado </t>
  </si>
  <si>
    <t xml:space="preserve">caída de material 
aplastamiento </t>
  </si>
  <si>
    <t xml:space="preserve">Se Procede a informar al supervisor encargado para la solventar la condicion
Se retira de manera urgente la tiejra de izaje </t>
  </si>
  <si>
    <t>No existe espejos convexos en pasos de transporte pesado.</t>
  </si>
  <si>
    <t>Atropellos, golpes, aplastamiento</t>
  </si>
  <si>
    <t>SYSO</t>
  </si>
  <si>
    <t>Instalación de espejos convexos en puntos estratégicos</t>
  </si>
  <si>
    <t>Pared y estructura deformada</t>
  </si>
  <si>
    <t>Desplome estructural</t>
  </si>
  <si>
    <t xml:space="preserve">reparacion del muro de manera urgente </t>
  </si>
  <si>
    <t xml:space="preserve">tanque de CO2 sin asegurar </t>
  </si>
  <si>
    <t xml:space="preserve">Se solicita que se asegure el tanque con cadenas </t>
  </si>
  <si>
    <t xml:space="preserve">Paso peatonal hacia el botiquin con obstaculos </t>
  </si>
  <si>
    <t xml:space="preserve">Caida a mismo nivel 
</t>
  </si>
  <si>
    <t>Novalosa</t>
  </si>
  <si>
    <t xml:space="preserve">se procedio a despejar el paso peatonal </t>
  </si>
  <si>
    <t xml:space="preserve">bobina obstaculización el paso peatonal </t>
  </si>
  <si>
    <t xml:space="preserve">caída al mismo nivel
aplastamiento </t>
  </si>
  <si>
    <t xml:space="preserve">Se solicita que se retire del paso peatonal </t>
  </si>
  <si>
    <t>Liquido refrigerante sin el HMISS II</t>
  </si>
  <si>
    <t>intoxicación</t>
  </si>
  <si>
    <t>se reporta la condición insegura al supervisor encargado y se solicita que se coloque el HMISS III</t>
  </si>
  <si>
    <t xml:space="preserve">Caballete en mal estado en el área de viales </t>
  </si>
  <si>
    <t>Se solicita que se retire del proceso</t>
  </si>
  <si>
    <t xml:space="preserve">Línea de galvanizado sin orden y limpieza </t>
  </si>
  <si>
    <t xml:space="preserve">Caída al mismo nivel 
</t>
  </si>
  <si>
    <t>Se solicita el orden y limpieza</t>
  </si>
  <si>
    <t>Personal de transporte/logista manipulando material sin guantes</t>
  </si>
  <si>
    <t xml:space="preserve">Corte en manos </t>
  </si>
  <si>
    <t xml:space="preserve">Socialización del peligro y riesgo </t>
  </si>
  <si>
    <t xml:space="preserve">Personal del área de viales(alcantarillado) trabajado sin guantes </t>
  </si>
  <si>
    <t xml:space="preserve">proyección de partículas a los ojos </t>
  </si>
  <si>
    <t xml:space="preserve">Sencibilizacion de la accion insegura </t>
  </si>
  <si>
    <t xml:space="preserve">Personal de orlando caiza trabajando con guantes en mal estado </t>
  </si>
  <si>
    <t xml:space="preserve">Se solicita a técnica encargada el cambio de inmediato de los guantes </t>
  </si>
  <si>
    <t>Personal de área de calidad  verifica la calidad una viga, pero la misma está suspendida.</t>
  </si>
  <si>
    <t xml:space="preserve">Caída de material 
aplastamiento </t>
  </si>
  <si>
    <t>Se verifica con supervisora de calidad el procedimiento y se da retroalimentación</t>
  </si>
  <si>
    <t>a Contratista Orlando Caiza se le para la obra por no tener la AST y PTE correspondientes a la actividad y por no hacer la debida notificación</t>
  </si>
  <si>
    <t xml:space="preserve">peligros y riesgos  de la actividad sin identificar </t>
  </si>
  <si>
    <t xml:space="preserve">Se para la actividad y se procede a realizar el AST y  PTE </t>
  </si>
  <si>
    <t xml:space="preserve">Maquina con rodamiento expuesto </t>
  </si>
  <si>
    <t>Atrapamiento</t>
  </si>
  <si>
    <t>Alisadora</t>
  </si>
  <si>
    <t xml:space="preserve">Se solicita al supervisor del área colocar una tapa </t>
  </si>
  <si>
    <t xml:space="preserve">material mal ubicado </t>
  </si>
  <si>
    <t xml:space="preserve">Se solicita al supervisor y asistente solventar la condición </t>
  </si>
  <si>
    <t xml:space="preserve">Paso por el área de pintura en desnivel </t>
  </si>
  <si>
    <t xml:space="preserve">caída a diferente nivel </t>
  </si>
  <si>
    <t xml:space="preserve">pintura </t>
  </si>
  <si>
    <t xml:space="preserve">Material apilado a más de 1,80m </t>
  </si>
  <si>
    <t xml:space="preserve">Se le solicita al supervisor que se solvente la novedad </t>
  </si>
  <si>
    <t>El proceso de cargar la bobina y llevarle hasta la mesa se necesita una cadena de 3/4 o 5/8 la que actualmente usan no es la adecuada, según su criterio técnico se levanta una condición insegura y se solicita de manera urgente analizar la compra de esta cadena para soportar el peso de 10 TON</t>
  </si>
  <si>
    <t xml:space="preserve">Se solicita la revisión y cambio de la cadena de manera urgente </t>
  </si>
  <si>
    <t xml:space="preserve">Se observa que una alarma de la Rollformer se encuentra encendida y hay un sonido fuera de los límites permitidos en toda la nave </t>
  </si>
  <si>
    <t xml:space="preserve">Capacidad auditiva afectada </t>
  </si>
  <si>
    <t xml:space="preserve">cable electrico en mal estado </t>
  </si>
  <si>
    <t xml:space="preserve">electorcucion </t>
  </si>
  <si>
    <t xml:space="preserve">cambiar el cable electrico </t>
  </si>
  <si>
    <t xml:space="preserve">Cableado expuesto </t>
  </si>
  <si>
    <t xml:space="preserve">electrocución </t>
  </si>
  <si>
    <t>Mantenimiento Mecánico</t>
  </si>
  <si>
    <t>Se le coloca tapie en la parte expuesta</t>
  </si>
  <si>
    <t xml:space="preserve">Personal sin protección auditiva </t>
  </si>
  <si>
    <t xml:space="preserve">daño permanente al oído </t>
  </si>
  <si>
    <t>Se procede a dar retroalimentación al personal sobre el uso de la protección auditiva</t>
  </si>
  <si>
    <t xml:space="preserve">Caballetes en zona de roladora </t>
  </si>
  <si>
    <t xml:space="preserve">caída de material
aplastamiento </t>
  </si>
  <si>
    <t>Se solicita que se diseñe una mesa para esa zona</t>
  </si>
  <si>
    <t xml:space="preserve">El sr. Luis Ponce se encontraba hablando por teléfono y encima de una plancha mientras el puente grúa 20ton (Imán)  se movía </t>
  </si>
  <si>
    <t>caída al mismo nivel
aplastamiento 
corte
golpe</t>
  </si>
  <si>
    <t xml:space="preserve">Se socializa con el sr, sobre los riesgos que conlleva este tipo acciones 
(se mantiene abierta hasta socializar con el sr.) </t>
  </si>
  <si>
    <t xml:space="preserve">Prensa175 (ton) sin señalización de peligro y riesgos </t>
  </si>
  <si>
    <t>Cortes
golpes
atrapamiento</t>
  </si>
  <si>
    <t xml:space="preserve">Se procede a colocar señaletica </t>
  </si>
  <si>
    <t>el sr. Luis Valdiviezo no señala o advierte el peligro al momento de cargar las c-us</t>
  </si>
  <si>
    <t xml:space="preserve">Golpes
atrapamiento
aplastamiento </t>
  </si>
  <si>
    <t xml:space="preserve">Se sensibiliza la situación con el sr. Luis Valdiviezo </t>
  </si>
  <si>
    <t>material mal apilado</t>
  </si>
  <si>
    <t xml:space="preserve">Se pide al supervisor que se apile de mejor manera </t>
  </si>
  <si>
    <t>Faja en mal estado</t>
  </si>
  <si>
    <t>Se pide que se cambie la faja de manera inmediata</t>
  </si>
  <si>
    <t>material mal apilado
paso peatonal obstaculizado</t>
  </si>
  <si>
    <t>Se pide que se apile de mejor manera</t>
  </si>
  <si>
    <t>cadenas del area de viales linea de galvanizado con oxido profundo</t>
  </si>
  <si>
    <t xml:space="preserve">caida de material
intoxicacion
aplastamiento </t>
  </si>
  <si>
    <t xml:space="preserve">Después de la inspección se procede a dar de baja las cadenas de manera inmediata </t>
  </si>
  <si>
    <t>Cadena de corte y conformado con deformaciones en las anilladas y los eslabones</t>
  </si>
  <si>
    <t xml:space="preserve">Se procede a dar de baja la cadena informando al supervisor a cargo </t>
  </si>
  <si>
    <t xml:space="preserve">Contratista Simetrika manipula el tablero eléctrico del puente grúa </t>
  </si>
  <si>
    <t>Se informa al área de mantenimiento eléctrico y se les pide que informen que no pueden ocupar los contratistas la caja eléctrica que se haga un control</t>
  </si>
  <si>
    <t xml:space="preserve">Chavetas en mal estado de cadena </t>
  </si>
  <si>
    <t>Se solicita el cambio de chavetas de la cadena de la corimpex</t>
  </si>
  <si>
    <t xml:space="preserve">grillete en mal estado y una herramienta hechiza colocada </t>
  </si>
  <si>
    <t>Se pide que se retire de manera urgente la herramienta hechiza y que se repare la cama de izaje</t>
  </si>
  <si>
    <t>Sujeción de material inapropiado</t>
  </si>
  <si>
    <t xml:space="preserve">Se le solicita al supervisor verificar y mejorar la sujeción de material </t>
  </si>
  <si>
    <t xml:space="preserve">Se pide al supervisor que se cambie de faja </t>
  </si>
  <si>
    <t xml:space="preserve">Colaboradores del área de paneles realizan accion insegura </t>
  </si>
  <si>
    <t xml:space="preserve">caida a diferente nivel
golpe </t>
  </si>
  <si>
    <t xml:space="preserve">Se socializa con el personal sobre los riesgos que conlleva este tipo de acciones </t>
  </si>
  <si>
    <t xml:space="preserve">El sr Juan Chicaiza manipula paneles sin guantes </t>
  </si>
  <si>
    <t xml:space="preserve">cortes </t>
  </si>
  <si>
    <t>Instalaciones</t>
  </si>
  <si>
    <t>Se socializa con el Sr sobre los riesgos que conlleva la acción insegura</t>
  </si>
  <si>
    <t>jalan manualmente flejes con riesgo de corte y aplastamiento</t>
  </si>
  <si>
    <t>corte y aplastamiento</t>
  </si>
  <si>
    <t>Granallado</t>
  </si>
  <si>
    <t>Revisión de método de trabajo y cambios en ello</t>
  </si>
  <si>
    <t>área de trabajo sin delimitación</t>
  </si>
  <si>
    <t>Ciada de material
Proyección de partículas</t>
  </si>
  <si>
    <t>Se coloca cinta de peligro en la zona de trabajo.</t>
  </si>
  <si>
    <t>Material con clavos</t>
  </si>
  <si>
    <t>Punzaciones</t>
  </si>
  <si>
    <t>Retiro de material con clavos del área</t>
  </si>
  <si>
    <t xml:space="preserve">Tanques de co2 sin asegurar </t>
  </si>
  <si>
    <t xml:space="preserve">Se pide que se aseguró los tanques de co2 </t>
  </si>
  <si>
    <t xml:space="preserve">Extensión en mal estado </t>
  </si>
  <si>
    <t>Electrocución</t>
  </si>
  <si>
    <t xml:space="preserve">Se informa al supervisor para la solventación de condición </t>
  </si>
  <si>
    <t xml:space="preserve">caida de material
aplastamiento </t>
  </si>
  <si>
    <t xml:space="preserve">Se da de baja la faja en mal estado </t>
  </si>
  <si>
    <t xml:space="preserve">Ducha de emergencia obstaculizada </t>
  </si>
  <si>
    <t>Quemaduras</t>
  </si>
  <si>
    <t>Se solicita que se despeje el área</t>
  </si>
  <si>
    <t xml:space="preserve">Se pide dar de baja </t>
  </si>
  <si>
    <t>Ciada de material</t>
  </si>
  <si>
    <t xml:space="preserve">Se solicita que se dé de baja la faja </t>
  </si>
  <si>
    <t xml:space="preserve">Cable de máquina de soldar en malas condiciones </t>
  </si>
  <si>
    <t xml:space="preserve">Se solicita la reparación o cambio del cable </t>
  </si>
  <si>
    <t xml:space="preserve">bobina obstaculizando el paso peatonal </t>
  </si>
  <si>
    <t>Aplastamiento</t>
  </si>
  <si>
    <t>Retirar la bobina de manera urgente</t>
  </si>
  <si>
    <t>Los frenos de la prensa 400 no responden de manera adecua</t>
  </si>
  <si>
    <t xml:space="preserve">corte </t>
  </si>
  <si>
    <t xml:space="preserve">Se Para producción de la maquina hasta que se repare </t>
  </si>
  <si>
    <t xml:space="preserve">Material obstaculizando el paso </t>
  </si>
  <si>
    <t xml:space="preserve">Caída al mismo nivel </t>
  </si>
  <si>
    <t>Retirar el material</t>
  </si>
  <si>
    <t>caja de brearkers abierta</t>
  </si>
  <si>
    <t>electrocución</t>
  </si>
  <si>
    <t xml:space="preserve">Se solicita cerrar la caja </t>
  </si>
  <si>
    <t xml:space="preserve">caja eléctrica abierta en paneles </t>
  </si>
  <si>
    <t xml:space="preserve">Electrocución </t>
  </si>
  <si>
    <t>Se píde que se cierre lacaja electrica</t>
  </si>
  <si>
    <t xml:space="preserve">Personal del contratista Orlando Caiza trabaja sin uniforme dotado </t>
  </si>
  <si>
    <t>cortes
Proyeccion de particulas</t>
  </si>
  <si>
    <t>Se solicita al contratista que se dote del uniforme correspondiente al trabajador de manera urgente</t>
  </si>
  <si>
    <t>Faja rota en prensa 1000</t>
  </si>
  <si>
    <t xml:space="preserve">caída de material 
Aplastamiento </t>
  </si>
  <si>
    <t xml:space="preserve">Cambio de faja de manera inmediata </t>
  </si>
  <si>
    <t>faja rota en prensa 175</t>
  </si>
  <si>
    <t>Contenedor de chatarra en condiciones no adecuadas</t>
  </si>
  <si>
    <t>Reparación del contenedor</t>
  </si>
  <si>
    <t>Tanque de CO2 sin asegurar</t>
  </si>
  <si>
    <t>Cizalla 2</t>
  </si>
  <si>
    <t>Aseguramiento de tanque con cadenas</t>
  </si>
  <si>
    <t>Zona de trabajo sin delimitación</t>
  </si>
  <si>
    <t>Caída de materiales</t>
  </si>
  <si>
    <t>Estilox</t>
  </si>
  <si>
    <t>Delimitación de zona de trabajo</t>
  </si>
  <si>
    <t>Mangueras sin acoples adecuados</t>
  </si>
  <si>
    <t>Fugas</t>
  </si>
  <si>
    <t>Colocación de acoples y cambio de mangueras</t>
  </si>
  <si>
    <t>Trabajos externos sin delimitación</t>
  </si>
  <si>
    <t>Caídas al mismo nivel</t>
  </si>
  <si>
    <t>Colocación de cinta de peligro</t>
  </si>
  <si>
    <t>Tablero eléctrico sin tapa</t>
  </si>
  <si>
    <t>Colocar tapa de tablero</t>
  </si>
  <si>
    <t>Pulsador de emergencia desubicado</t>
  </si>
  <si>
    <t xml:space="preserve">Falla de pulsador </t>
  </si>
  <si>
    <t>Reubicar el pulsador de emergencia</t>
  </si>
  <si>
    <t>Filos de chatarra expuesta</t>
  </si>
  <si>
    <t>Golpes, cortes</t>
  </si>
  <si>
    <t>Evacuación y retiro de chatarra</t>
  </si>
  <si>
    <t>Tablero eléctrico abierto</t>
  </si>
  <si>
    <t>Descarga eléctrica</t>
  </si>
  <si>
    <t>Solicitud para el cierre del tablero</t>
  </si>
  <si>
    <t>Varillas sobre el paso peatonal</t>
  </si>
  <si>
    <t xml:space="preserve">Retiro de material </t>
  </si>
  <si>
    <t>Caídas a distinto nivel</t>
  </si>
  <si>
    <t>Material sobre el paso peatonal</t>
  </si>
  <si>
    <t>Retiro y evacuación de material</t>
  </si>
  <si>
    <t>Dovela en posición peligrosa</t>
  </si>
  <si>
    <t>Aplastamientos, atrapamientos</t>
  </si>
  <si>
    <t>Reubicación horizontal de la dovela.</t>
  </si>
  <si>
    <t>Corimpex</t>
  </si>
  <si>
    <t>Cierre de acceso a la dovela.</t>
  </si>
  <si>
    <t>Seguro de tablero no funciona</t>
  </si>
  <si>
    <t>Reparación de seguro</t>
  </si>
  <si>
    <t>Químicos fuera del cubeto</t>
  </si>
  <si>
    <t>Derrame químico</t>
  </si>
  <si>
    <t>Colocación de químicos en cubeto</t>
  </si>
  <si>
    <t>Zona de caída sin delimitación</t>
  </si>
  <si>
    <t>Extensión en mal estado</t>
  </si>
  <si>
    <t>Cámara de Transformación CT1</t>
  </si>
  <si>
    <t>Colocar recubrimiento</t>
  </si>
  <si>
    <t>Uso de químicos sin identificación</t>
  </si>
  <si>
    <t>Taller de Mantenimiento Eléctrico</t>
  </si>
  <si>
    <t>No usar EPP, William Fernández</t>
  </si>
  <si>
    <t>Lesiones oculares</t>
  </si>
  <si>
    <t xml:space="preserve">llamado de atención </t>
  </si>
  <si>
    <t>No usar EPP, Franklin Toapanta</t>
  </si>
  <si>
    <t>Direccionar cargas suspendidas con las manos</t>
  </si>
  <si>
    <t>Entrega de vientos para cargas</t>
  </si>
  <si>
    <t>No existe MSDS de la resina, diluyente y pinturas</t>
  </si>
  <si>
    <t>Uso incorrecto de sustancias químicas</t>
  </si>
  <si>
    <t>Realizar la entrega de las MSDS</t>
  </si>
  <si>
    <t>No hay rombo NFPA del agua destilada</t>
  </si>
  <si>
    <t>Colocar el rombo en el agua destilada</t>
  </si>
  <si>
    <t>Instrucciones del pedal dobladora en idioma inglés</t>
  </si>
  <si>
    <t>Uso incorrecto de la máquina</t>
  </si>
  <si>
    <t>Colocar las instrucciones del pedal en español</t>
  </si>
  <si>
    <t>Revisión de guardas de seguridad Dobladora y Curvadora</t>
  </si>
  <si>
    <t>Atrapamientos cortes</t>
  </si>
  <si>
    <t>Instalación de guardas.</t>
  </si>
  <si>
    <t xml:space="preserve">Paso peatonal no se identifica </t>
  </si>
  <si>
    <t>Mantenimiento de pasos peatonales</t>
  </si>
  <si>
    <t>Tablero eléctrico no está cerrado correctamente de Alisadora</t>
  </si>
  <si>
    <t>Cerrar el tablero de la alisadora</t>
  </si>
  <si>
    <t>Pasos peatonales obstaculizados</t>
  </si>
  <si>
    <t>Despejar los pasos peatonales</t>
  </si>
  <si>
    <t xml:space="preserve">Piso a diferente nivel y varillas salidas </t>
  </si>
  <si>
    <t>Nivelación de la superficie</t>
  </si>
  <si>
    <t>Piso a diferente nivel</t>
  </si>
  <si>
    <t>Cadena de izaje oxidada</t>
  </si>
  <si>
    <t>Rotura de cadenas</t>
  </si>
  <si>
    <t>cambio de cadena o dar de baja la cadena</t>
  </si>
  <si>
    <t>Pison en desnivel con grietas</t>
  </si>
  <si>
    <t>Elementos de izaje no adecuados ptar</t>
  </si>
  <si>
    <t>caída de materiales</t>
  </si>
  <si>
    <t>PTAR</t>
  </si>
  <si>
    <t>Adecuar  el equipo de izaje</t>
  </si>
  <si>
    <t>Canaleta levantada en paso peatonal</t>
  </si>
  <si>
    <t>Corregir el nivel de la canaleta</t>
  </si>
  <si>
    <t>Paso peatonal de las cubas de galvanizado no restringe el acceso al personal externo del área</t>
  </si>
  <si>
    <t>Direccionar el paso peatonal rodeando la nave de galvanizado</t>
  </si>
  <si>
    <t>Acceso bloqueado en salida de oficina de calidad/Paneles</t>
  </si>
  <si>
    <t>Calidad</t>
  </si>
  <si>
    <t>Redistribuir el acceso a la oficina.</t>
  </si>
  <si>
    <t>Alfajías no adecuadas para montacargas de 25 T</t>
  </si>
  <si>
    <t>Caída de material</t>
  </si>
  <si>
    <t>Planta de producción</t>
  </si>
  <si>
    <t>Gestionar la compra de alfajías adecuadas para las uñas del montacargas.</t>
  </si>
  <si>
    <t>Desplome de carga</t>
  </si>
  <si>
    <t>TECOI</t>
  </si>
  <si>
    <t>Paso peatonal obstaculizado</t>
  </si>
  <si>
    <t>Despejar pasos peatonales</t>
  </si>
  <si>
    <t>Toma sin señalizar el voltaje</t>
  </si>
  <si>
    <t>Descarga eléctrica.</t>
  </si>
  <si>
    <t>Etiquetar él toma corriente</t>
  </si>
  <si>
    <t>Señalética mal especificada</t>
  </si>
  <si>
    <t>No conformidad en auditoria.</t>
  </si>
  <si>
    <t>Retiro o reemplazo de señalética,</t>
  </si>
  <si>
    <t>Lampara de emergencia no enciende</t>
  </si>
  <si>
    <t>Falla durante emergencia</t>
  </si>
  <si>
    <t>Reparación de señalética</t>
  </si>
  <si>
    <t>Tanques sin asegurar</t>
  </si>
  <si>
    <t>Asegurar los tanques</t>
  </si>
  <si>
    <t>Reparación de la puerta del tablero.</t>
  </si>
  <si>
    <t>Paro de emergencia mal ubicado</t>
  </si>
  <si>
    <t>mala operación del paro de emergencia</t>
  </si>
  <si>
    <t>Prensa 175</t>
  </si>
  <si>
    <t>Reubicación del paro de emergencia</t>
  </si>
  <si>
    <t>Cadena no adecuada para izaje de bobinas</t>
  </si>
  <si>
    <t>Roll Former</t>
  </si>
  <si>
    <t xml:space="preserve">Cambio de cadena </t>
  </si>
  <si>
    <t>Dispositivo de soldadura</t>
  </si>
  <si>
    <t>Cambio de extensión</t>
  </si>
  <si>
    <t>Cadenas sin guardas</t>
  </si>
  <si>
    <t>Atrapamiento de manos</t>
  </si>
  <si>
    <t>Instalación de guardas</t>
  </si>
  <si>
    <t>Empates</t>
  </si>
  <si>
    <t>etiquetar él toma corriente</t>
  </si>
  <si>
    <t>Peligro y riesgo no advertido</t>
  </si>
  <si>
    <t>Delimitación de dovelas</t>
  </si>
  <si>
    <t>Gabinete de incendios sin vidrio</t>
  </si>
  <si>
    <t>Daño de equipos contra incendios</t>
  </si>
  <si>
    <t>Colocación de vidrio.</t>
  </si>
  <si>
    <t>Aplastamientos</t>
  </si>
  <si>
    <t>Tapa de canaleta levantada</t>
  </si>
  <si>
    <t>Corregir la posición de la tapa</t>
  </si>
  <si>
    <t xml:space="preserve">Pedales de operación en inglés </t>
  </si>
  <si>
    <t>Operación inadecuada</t>
  </si>
  <si>
    <t>Dobladora</t>
  </si>
  <si>
    <t xml:space="preserve">Etiquetar en español los pedales </t>
  </si>
  <si>
    <t>Obstaculización de gabinete contra incendios</t>
  </si>
  <si>
    <t>Retiro de obstáculos y evacuación de desechos.</t>
  </si>
  <si>
    <t>Zona de trabajo no delimitada</t>
  </si>
  <si>
    <t>Delimitar la zona de trabajo</t>
  </si>
  <si>
    <t>Rejilla levantada</t>
  </si>
  <si>
    <t>Reparación de ángulo para la colocación de la rejilla.</t>
  </si>
  <si>
    <t>Ubicación inadecuado de equipo de oxicorte</t>
  </si>
  <si>
    <t>Incendios, explosiones</t>
  </si>
  <si>
    <t>Reubicación del equipo de oxicorte</t>
  </si>
  <si>
    <t>Bobinas sin zunchos llegan desde el proveedor</t>
  </si>
  <si>
    <t>Golpes en manos</t>
  </si>
  <si>
    <t>Contactar al proveedor para verificar el aseguramiento de zunchos en bobinas</t>
  </si>
  <si>
    <t>Se desconoce la gestión y manejo de bobinas que llegan sin zunchos a planta</t>
  </si>
  <si>
    <t>Validar el procedimiento adecuado para gestionar el manejo de las bobinas sin zunchos en planta</t>
  </si>
  <si>
    <t>Uso de base no adecuada para disco Cubitron</t>
  </si>
  <si>
    <t>Cortes</t>
  </si>
  <si>
    <t>Analizar y gestionar la compra de la base adecuada para el disco CUBITRÓN</t>
  </si>
  <si>
    <t>Uso inadecuado de discos cubitron</t>
  </si>
  <si>
    <t>Gestionar capacitación sobre uso adecuado y seguro de discos y amoladoras con el proveedor.</t>
  </si>
  <si>
    <t>Llegan bobinas sin zunchos desde los proveedores</t>
  </si>
  <si>
    <t>Revisión del correcto proceso de recepción de bobinas sin zunchos</t>
  </si>
  <si>
    <t>Fuga sistema hidráulico AR5</t>
  </si>
  <si>
    <t>Contaminación, intoxicación</t>
  </si>
  <si>
    <t>AR5000</t>
  </si>
  <si>
    <t>Reparación de fuga en sistema hidráulico</t>
  </si>
  <si>
    <t>Zona de gabinete no está delimitado DRT PLUS</t>
  </si>
  <si>
    <t>Obstaculización del gabinete de emergencia</t>
  </si>
  <si>
    <t>DRT PLUS</t>
  </si>
  <si>
    <t>Delimitar en piso la señalética  del gabinete externo de la DRT</t>
  </si>
  <si>
    <t>Extintor obstaculizado</t>
  </si>
  <si>
    <t>Respuesta ineficiente ante emergencias</t>
  </si>
  <si>
    <t>Despejar el espacio o reubicar los extintores obstaculizados.</t>
  </si>
  <si>
    <t>uso de herramientas hechizas</t>
  </si>
  <si>
    <t>Gestionar la entrega de combos adecuados.</t>
  </si>
  <si>
    <t>Cables sueltos</t>
  </si>
  <si>
    <t>Organizar cables y colocar canaletas</t>
  </si>
  <si>
    <t>Piso en mal estado</t>
  </si>
  <si>
    <t>Caidas al mismo nivel</t>
  </si>
  <si>
    <t>Gestionar la reparación del suelo</t>
  </si>
  <si>
    <t>Mangueras del sistema hidráulico sueltas.</t>
  </si>
  <si>
    <t>Contenedor de chatarra en mal estado</t>
  </si>
  <si>
    <t>Desplome de chatarra</t>
  </si>
  <si>
    <t>Gestionar la reparación del contenedor de chatarra</t>
  </si>
  <si>
    <t>Tapa de tablero deformada</t>
  </si>
  <si>
    <t>Reparación de tapa del tablero</t>
  </si>
  <si>
    <t>Acumulación de granalla</t>
  </si>
  <si>
    <t>Desalojo de granalla</t>
  </si>
  <si>
    <t>Rejillas levantadas</t>
  </si>
  <si>
    <t>Reparación de ángulos</t>
  </si>
  <si>
    <t>Mangueras de suelda con acoples no adecuados</t>
  </si>
  <si>
    <t>Cambio de mangueras</t>
  </si>
  <si>
    <t>Conatos</t>
  </si>
  <si>
    <t>Cabina de pintura</t>
  </si>
  <si>
    <t>Coche de suelda  inestable en rueda</t>
  </si>
  <si>
    <t>Julio</t>
  </si>
  <si>
    <t>cambio de ruedas</t>
  </si>
  <si>
    <t>Cuchilla expuesta cierra circular</t>
  </si>
  <si>
    <t>cortes</t>
  </si>
  <si>
    <t>Colocación de guarda</t>
  </si>
  <si>
    <t>Cadenas en mal estado</t>
  </si>
  <si>
    <t>Dar de baja la cadena</t>
  </si>
  <si>
    <t>Estabilizador sin zapata</t>
  </si>
  <si>
    <t>Elevador Genie Mástil</t>
  </si>
  <si>
    <t>Colocación de zapata</t>
  </si>
  <si>
    <t>Pasos peatonales tapados</t>
  </si>
  <si>
    <t xml:space="preserve">Evacuación </t>
  </si>
  <si>
    <t>Químicos sin cubeto</t>
  </si>
  <si>
    <t>Derrames</t>
  </si>
  <si>
    <t>Almacenamiento adecuado de qupimicos</t>
  </si>
  <si>
    <t>Extensión sin recubrimiento</t>
  </si>
  <si>
    <t>Colocaicónd e aislante, cambio de extensión</t>
  </si>
  <si>
    <t>Mangueras en mal estado equipo de plasma</t>
  </si>
  <si>
    <t>Cambio de acoples y mangueras</t>
  </si>
  <si>
    <t>Fajas en mal  estado</t>
  </si>
  <si>
    <t>Rotura de fajas y desplome de carga</t>
  </si>
  <si>
    <t>Cambio de fajas</t>
  </si>
  <si>
    <t>Zunchos expuestos al paso peatonal</t>
  </si>
  <si>
    <t>Golpes y cortes</t>
  </si>
  <si>
    <t>Retiro de zuncho</t>
  </si>
  <si>
    <t>Cable de acero PT grúa roto</t>
  </si>
  <si>
    <t>Cambio de cable</t>
  </si>
  <si>
    <t>Puerta desubicada</t>
  </si>
  <si>
    <t>Reparación de soportes</t>
  </si>
  <si>
    <t>Puente sin etiqueta de capacidad</t>
  </si>
  <si>
    <t>Uso inadecuado de equipos</t>
  </si>
  <si>
    <t>Colocación de capacidad</t>
  </si>
  <si>
    <t>Telemando de puente 5T falla al momento de bajar</t>
  </si>
  <si>
    <t>Reparación del control</t>
  </si>
  <si>
    <t xml:space="preserve">Lubricación manual de cuchillas </t>
  </si>
  <si>
    <t>Cortes, amputaciones</t>
  </si>
  <si>
    <t>Automatizar el proceso de lubricación</t>
  </si>
  <si>
    <t>Guardas no cubren todos los rodillos</t>
  </si>
  <si>
    <t>Extender la cobertura de las guardas</t>
  </si>
  <si>
    <t>Puente grúa no permite movimiento continuo por la riel</t>
  </si>
  <si>
    <t>JULIO</t>
  </si>
  <si>
    <t xml:space="preserve">Ruido no controlado </t>
  </si>
  <si>
    <t>Afectación de sistema auditivo</t>
  </si>
  <si>
    <t>Se controlo el ruido</t>
  </si>
  <si>
    <t>Botonera en otro idioma Estilox Plus</t>
  </si>
  <si>
    <t>Operación incorrecta de maquinaria</t>
  </si>
  <si>
    <t>Estilox Plus</t>
  </si>
  <si>
    <t>Etiquetar la botonera en español</t>
  </si>
  <si>
    <t>Pasos peatonales no definidos</t>
  </si>
  <si>
    <t>Delimitar los pasos peatonales</t>
  </si>
  <si>
    <t>Acceso no limitado en semipórtico</t>
  </si>
  <si>
    <t>Colocar tapa</t>
  </si>
  <si>
    <t>Rodillos de corimpex expuestos</t>
  </si>
  <si>
    <t>Golpes, aplastamientos</t>
  </si>
  <si>
    <t>Tapas de canaletas levantadas</t>
  </si>
  <si>
    <t>Colocación fija de tapas</t>
  </si>
  <si>
    <t>Bobinas mal ubicadas</t>
  </si>
  <si>
    <t>Ubicación adecuada de bobinas</t>
  </si>
  <si>
    <t>19/6/2026 Emilio Guanolema Trabajo sobre plataformas sin barbiquejo</t>
  </si>
  <si>
    <t>Llamado de atención paro de actividad</t>
  </si>
  <si>
    <t>Alarmas del sistema de emergencia no se escucha</t>
  </si>
  <si>
    <t>Respuesta de emergencias tardía</t>
  </si>
  <si>
    <t>Revisión del sistema de alarma</t>
  </si>
  <si>
    <t>Pulsador de alarma no se activan, en mal estado</t>
  </si>
  <si>
    <t>Reparación del pulsador</t>
  </si>
  <si>
    <t>julio</t>
  </si>
  <si>
    <t>Mesa de dobladora con ranuras que producen atascamientos</t>
  </si>
  <si>
    <t xml:space="preserve">Colocación de tapas en mesa </t>
  </si>
  <si>
    <t>No existe herramienta para desmontar rodillos de corimpex</t>
  </si>
  <si>
    <t>Fabricación de herramienta para la sujeción del rodillo</t>
  </si>
  <si>
    <t>23/6/2026 Pablo Aguayo se coloca en línea de fuego sufriendo aplastamiento de pie</t>
  </si>
  <si>
    <t>Llamado de atención</t>
  </si>
  <si>
    <t>No existe sensores en máquinas para evitar apertura de guardas</t>
  </si>
  <si>
    <t>Colocación de sensores</t>
  </si>
  <si>
    <t xml:space="preserve">No existe etiquetado en el pedal de la cizalla Troptreck </t>
  </si>
  <si>
    <t>Cizalla Toptrek</t>
  </si>
  <si>
    <t>Colocación de etiquetas 
en el pedal</t>
  </si>
  <si>
    <t>Escalera presenta soldadura
 desgastada</t>
  </si>
  <si>
    <t>Revisión de la soldadura de
 la escalera</t>
  </si>
  <si>
    <t xml:space="preserve">Apilamiento excesivo de planchas </t>
  </si>
  <si>
    <t>Atrapamientos y caídas</t>
  </si>
  <si>
    <t>No apilar excesivamente</t>
  </si>
  <si>
    <t xml:space="preserve">Apilamiento excesivo de material  </t>
  </si>
  <si>
    <t>Atrapamientos y caídas de 
material</t>
  </si>
  <si>
    <t>Gancho en mal estado del puente PTAR</t>
  </si>
  <si>
    <t>Revisión cambio de gancho</t>
  </si>
  <si>
    <t>Pórtico de la PTAR sin planos ni memoria tecnica</t>
  </si>
  <si>
    <t>Levantamiento de planos y memoria de cálculo</t>
  </si>
  <si>
    <t>Ingreso a nave principal del soldadura obstaculizado</t>
  </si>
  <si>
    <t>Definir Lay Out para los pasos peatonales</t>
  </si>
  <si>
    <t>Salida de emergencia obstaculizada</t>
  </si>
  <si>
    <t>Despejar la salida de emergencia</t>
  </si>
  <si>
    <t>Mandos y botoneras  sin etiquetar en maquinaria de viales</t>
  </si>
  <si>
    <t>Etiquetar mandos</t>
  </si>
  <si>
    <t>Químico sin etiquetado</t>
  </si>
  <si>
    <t>Incumplimiento al procedimiento</t>
  </si>
  <si>
    <t>Etiquetar con sistema HMIS</t>
  </si>
  <si>
    <t>Cable sin canaleta en el comedor</t>
  </si>
  <si>
    <t>Comedor</t>
  </si>
  <si>
    <t>Colocar la canaleta en el cable</t>
  </si>
  <si>
    <t>bobina en el paso</t>
  </si>
  <si>
    <t xml:space="preserve">se recomienda retirar del paso </t>
  </si>
  <si>
    <t xml:space="preserve">Filtro de respirador en mal estado </t>
  </si>
  <si>
    <t xml:space="preserve">se solicita cambiar los filtros </t>
  </si>
  <si>
    <t xml:space="preserve">Faja mal estado </t>
  </si>
  <si>
    <t xml:space="preserve">Aplastamientos </t>
  </si>
  <si>
    <t>Prensa 400</t>
  </si>
  <si>
    <t xml:space="preserve">Cambio de fajas </t>
  </si>
  <si>
    <t xml:space="preserve">Camilla de emergencia obstaculizada </t>
  </si>
  <si>
    <t xml:space="preserve">golpes, caídas </t>
  </si>
  <si>
    <t>Despejar camilla de emergencia</t>
  </si>
  <si>
    <t xml:space="preserve">Cajetines sin tapas </t>
  </si>
  <si>
    <t xml:space="preserve">riesgo eléctrico, manipulación inadecuada </t>
  </si>
  <si>
    <t xml:space="preserve">Colocar tapas de cajetines </t>
  </si>
  <si>
    <t xml:space="preserve">Paso bloqueado </t>
  </si>
  <si>
    <t>golpes, cortes, caídas al mismo nivel</t>
  </si>
  <si>
    <t>Despejar la paso peatonal</t>
  </si>
  <si>
    <t xml:space="preserve">cerrar el tablero </t>
  </si>
  <si>
    <t>Uso inadecuado del punto de seguridad</t>
  </si>
  <si>
    <t xml:space="preserve">Llamado de atención </t>
  </si>
  <si>
    <t xml:space="preserve">Colocar los elementos que corresponden al punto de seguridad </t>
  </si>
  <si>
    <t xml:space="preserve">Gabinete sin llave </t>
  </si>
  <si>
    <t xml:space="preserve">uso inadecuado de elementos de emergencia </t>
  </si>
  <si>
    <t xml:space="preserve">Reponer la llave </t>
  </si>
  <si>
    <t xml:space="preserve">Paso de vehículos  en zonas de trabajos </t>
  </si>
  <si>
    <t xml:space="preserve">atropellamiento </t>
  </si>
  <si>
    <t xml:space="preserve">prohibir el paso de vehículos </t>
  </si>
  <si>
    <t>Tapa de vidrio del gabinete roto</t>
  </si>
  <si>
    <t>Corte</t>
  </si>
  <si>
    <t>Reparación de vidrio</t>
  </si>
  <si>
    <t xml:space="preserve">Caballete deformado </t>
  </si>
  <si>
    <t xml:space="preserve">aplastamientos, mala posturas </t>
  </si>
  <si>
    <t xml:space="preserve">corrección y certificación </t>
  </si>
  <si>
    <t xml:space="preserve">personal sobre material apilado </t>
  </si>
  <si>
    <t>Caidas a distinto nivel</t>
  </si>
  <si>
    <t xml:space="preserve">material apilado </t>
  </si>
  <si>
    <t xml:space="preserve">tomas sin etiquetas de voltaje </t>
  </si>
  <si>
    <t>Etiquetar tomas</t>
  </si>
  <si>
    <t xml:space="preserve">Etiquetas de tablero en otro idioma </t>
  </si>
  <si>
    <t xml:space="preserve">manipulación inadecuada </t>
  </si>
  <si>
    <t xml:space="preserve">cambiar idioma de etiquetas </t>
  </si>
  <si>
    <t xml:space="preserve">cableado en mal estado y desordenados </t>
  </si>
  <si>
    <t>riesgo eléctrico, manipulación inadecuada, caídas al mismo nivel</t>
  </si>
  <si>
    <t xml:space="preserve">orden y limpieza </t>
  </si>
  <si>
    <t xml:space="preserve">botonera slitter sin etiqueta </t>
  </si>
  <si>
    <t xml:space="preserve">botonera en corimpex sin etiqueta </t>
  </si>
  <si>
    <t xml:space="preserve">botonera sliter sin etiqueta </t>
  </si>
  <si>
    <t>Slitter</t>
  </si>
  <si>
    <t>Extensiones en mal estado</t>
  </si>
  <si>
    <t>Cambio de extensión / Orden y limpieza</t>
  </si>
  <si>
    <t xml:space="preserve">Mal uso de los elementos </t>
  </si>
  <si>
    <t xml:space="preserve">Cambiar y desechar fajas dañadas  </t>
  </si>
  <si>
    <t xml:space="preserve">Tambor en mal estado </t>
  </si>
  <si>
    <t>Aseguramiento de tambor del puente</t>
  </si>
  <si>
    <t xml:space="preserve">Tomas sin etiquetas de voltaje </t>
  </si>
  <si>
    <t xml:space="preserve">Manipulación inadecuada </t>
  </si>
  <si>
    <t xml:space="preserve">Canaletas en mal estado </t>
  </si>
  <si>
    <t xml:space="preserve">Cambio de canaletas </t>
  </si>
  <si>
    <t>Etiquetas de mandos degastados</t>
  </si>
  <si>
    <t xml:space="preserve">Cambio de etiquetas </t>
  </si>
  <si>
    <t xml:space="preserve">Aplastamientos, caídas a distintos nivel, mal uso de elementos </t>
  </si>
  <si>
    <t>No se solicita PTE para espacios confinados</t>
  </si>
  <si>
    <t>Accidentes por gestión inadecuada de permisos</t>
  </si>
  <si>
    <t>Apertura de permiso de trabajo en espacio confinado</t>
  </si>
  <si>
    <t xml:space="preserve">Acceso restringido abierto </t>
  </si>
  <si>
    <t xml:space="preserve">Cerrar acceso </t>
  </si>
  <si>
    <t xml:space="preserve">Silla en mal estado </t>
  </si>
  <si>
    <t>Riesgo ergonómico, caídas al mismo nivel</t>
  </si>
  <si>
    <t xml:space="preserve">Cambiar la silla </t>
  </si>
  <si>
    <t>Unidad hidráulica de novalosa sobrecalentada</t>
  </si>
  <si>
    <t>Mantenimiento correctivo</t>
  </si>
  <si>
    <t>Chatarra sobre caballetes</t>
  </si>
  <si>
    <t xml:space="preserve">Orden y limpieza </t>
  </si>
  <si>
    <t xml:space="preserve">Puente grúa sin etiqueta de capacidad </t>
  </si>
  <si>
    <t xml:space="preserve">Colocar la capacidad permitida </t>
  </si>
  <si>
    <t xml:space="preserve">Tablero eléctrico abierto y sin etiquetas </t>
  </si>
  <si>
    <t>Manipulación inadecuada</t>
  </si>
  <si>
    <t xml:space="preserve">cerrar el tablero , colocar etiquetas </t>
  </si>
  <si>
    <t xml:space="preserve">Pestillo de puente grúa 5T en mal estado </t>
  </si>
  <si>
    <t>Taller de Mantenimiento Mecánico</t>
  </si>
  <si>
    <t xml:space="preserve">Pestillo de puente grúa 3.2 T en mal estado </t>
  </si>
  <si>
    <t xml:space="preserve">Chaveta sin perno de grillete </t>
  </si>
  <si>
    <t xml:space="preserve">Colocar perno </t>
  </si>
  <si>
    <t xml:space="preserve">Botones de mando del puente de 10 T y 3,2T sin etiquetas </t>
  </si>
  <si>
    <t xml:space="preserve">Área de trabajo sin delimitaciones </t>
  </si>
  <si>
    <t xml:space="preserve">Colocar conos durante las operaciones </t>
  </si>
  <si>
    <t xml:space="preserve">Manómetro en el tanque de GLP dañado </t>
  </si>
  <si>
    <t>Falla en manómetros</t>
  </si>
  <si>
    <t>Bombona de GLP</t>
  </si>
  <si>
    <t>Cambio de manómetros</t>
  </si>
  <si>
    <t xml:space="preserve">riesgo a ruidos de granalla </t>
  </si>
  <si>
    <t xml:space="preserve">riesgo físico </t>
  </si>
  <si>
    <t>Medidas de prevención</t>
  </si>
  <si>
    <t>Jorge Díaz subido sobre el material inestable</t>
  </si>
  <si>
    <t>Caída de material distinto nivel</t>
  </si>
  <si>
    <t>Grillete sin chaveta cama de izaje</t>
  </si>
  <si>
    <t xml:space="preserve">revisar con mantenimiento </t>
  </si>
  <si>
    <t xml:space="preserve">Perno de grillete mal ubicado </t>
  </si>
  <si>
    <t>revisar sentido de la instalación</t>
  </si>
  <si>
    <t>Cable de botonera semi pórtico suelto</t>
  </si>
  <si>
    <t xml:space="preserve">golpes </t>
  </si>
  <si>
    <t xml:space="preserve">Material en plataforma peatonal </t>
  </si>
  <si>
    <t xml:space="preserve">Aplastamientos, caídas al mismo nivel </t>
  </si>
  <si>
    <t xml:space="preserve">Colocar delimitantes  durante las operaciones </t>
  </si>
  <si>
    <t xml:space="preserve">Material aplicado </t>
  </si>
  <si>
    <t xml:space="preserve">Caídas al mismo nivel, golpes </t>
  </si>
  <si>
    <t xml:space="preserve">Cable de puente gura en mal estado </t>
  </si>
  <si>
    <t xml:space="preserve">Cambiar cable </t>
  </si>
  <si>
    <t xml:space="preserve">Piso en mal estado </t>
  </si>
  <si>
    <t>Acopio de Planchas Corte &amp; Conformado</t>
  </si>
  <si>
    <t>Adecuación de pisos</t>
  </si>
  <si>
    <t xml:space="preserve">Alfajía metálica en mal estado </t>
  </si>
  <si>
    <t>Cambio de alfajía</t>
  </si>
  <si>
    <t>Bandeja porta cables desubicada</t>
  </si>
  <si>
    <t xml:space="preserve">Fijar canaleta </t>
  </si>
  <si>
    <t xml:space="preserve">Rodillos apilados </t>
  </si>
  <si>
    <t xml:space="preserve">Plumas en sitio inadecuado </t>
  </si>
  <si>
    <t xml:space="preserve">Designar sitio de acopio para los materiales </t>
  </si>
  <si>
    <t xml:space="preserve">Paso peatonal bloqueado </t>
  </si>
  <si>
    <t xml:space="preserve">Paso peatonal no visible </t>
  </si>
  <si>
    <t>Delimitar áreas de trabajo.</t>
  </si>
  <si>
    <t xml:space="preserve">Químicos sin etiquetas </t>
  </si>
  <si>
    <t>Etiquetar conforme HMIS</t>
  </si>
  <si>
    <t xml:space="preserve">Cables apilados </t>
  </si>
  <si>
    <t xml:space="preserve">Sin camilla de emergencia </t>
  </si>
  <si>
    <t>Respuesta a emergencias no adecuada</t>
  </si>
  <si>
    <t>Implementar camilla de emergencia en el taller</t>
  </si>
  <si>
    <t xml:space="preserve">extintor sin delimitación </t>
  </si>
  <si>
    <t>Delimitar área.</t>
  </si>
  <si>
    <t xml:space="preserve">Caballete en mal estado </t>
  </si>
  <si>
    <t>Golpes</t>
  </si>
  <si>
    <t xml:space="preserve">Validar la superficie del caballete </t>
  </si>
  <si>
    <t xml:space="preserve">Caballete sin etiquetade capacidad </t>
  </si>
  <si>
    <t xml:space="preserve">Materiales de trabajo en lugares inadecuados </t>
  </si>
  <si>
    <t xml:space="preserve">Salida  de emergencia bloqueada </t>
  </si>
  <si>
    <t>Despejar salida de emergencia</t>
  </si>
  <si>
    <t xml:space="preserve">Guates no adecuados para aceites </t>
  </si>
  <si>
    <t xml:space="preserve">Cambiar guantes </t>
  </si>
  <si>
    <t xml:space="preserve">Golpes, Caídas al mismo nivel </t>
  </si>
  <si>
    <t xml:space="preserve">Delimitar paso peatonal </t>
  </si>
  <si>
    <t>Piso agrietado viales</t>
  </si>
  <si>
    <t xml:space="preserve">Nivelar el piso </t>
  </si>
  <si>
    <t xml:space="preserve">Piso agrietado zona de carga en galvanizado </t>
  </si>
  <si>
    <t xml:space="preserve">Indicadores de hidro lavadora no visibles </t>
  </si>
  <si>
    <t>Estructuras para galvanizado de varillas sin anclajes</t>
  </si>
  <si>
    <t>Fijar las estructuras</t>
  </si>
  <si>
    <t xml:space="preserve">Rejilla en mal estado </t>
  </si>
  <si>
    <t xml:space="preserve">Cambiar rejilla </t>
  </si>
  <si>
    <t>Tecles sin sistema LOTO</t>
  </si>
  <si>
    <t>Epóxico</t>
  </si>
  <si>
    <t xml:space="preserve">Revisar con mantenimiento </t>
  </si>
  <si>
    <t>Estantería con sobre carga en el epóxico</t>
  </si>
  <si>
    <t xml:space="preserve">No apilar excesivamente </t>
  </si>
  <si>
    <t xml:space="preserve">Cables del horno epóxido expuesto </t>
  </si>
  <si>
    <t xml:space="preserve">Cerrar o bloquear </t>
  </si>
  <si>
    <t xml:space="preserve">Pared en mal estado </t>
  </si>
  <si>
    <t>Reparación de pared</t>
  </si>
  <si>
    <t xml:space="preserve">Piso agrietado </t>
  </si>
  <si>
    <t>Acumulación de desechos</t>
  </si>
  <si>
    <t>Evacuación de residuos</t>
  </si>
  <si>
    <t>Personal operando elevadores sin certificación</t>
  </si>
  <si>
    <t>Capacitación para operación de equipos</t>
  </si>
  <si>
    <t xml:space="preserve">Ausencias de líneas de vida </t>
  </si>
  <si>
    <t xml:space="preserve">Caídas a distinto nivel </t>
  </si>
  <si>
    <t>Compras</t>
  </si>
  <si>
    <t>Instalación de las líneas de vida</t>
  </si>
  <si>
    <t>Vidrio/pantalla deteriorada</t>
  </si>
  <si>
    <t>Corte / desprendimiento / golpe</t>
  </si>
  <si>
    <t>Media</t>
  </si>
  <si>
    <t>Retiro de vidrio o de pantalla de comunicación</t>
  </si>
  <si>
    <t>Mesa no adecuada para omegas</t>
  </si>
  <si>
    <t>Sobreesfuerzo / posturas forzadas</t>
  </si>
  <si>
    <t>Implementación de una mesa adecuada</t>
  </si>
  <si>
    <t>Acceso inadecuado en paneles, se encuentra colocado planchas en la pared</t>
  </si>
  <si>
    <t>Ingreso no controlado / golpes / atrapamiento</t>
  </si>
  <si>
    <t>Alta</t>
  </si>
  <si>
    <t>Adecuación y reparación de la pared</t>
  </si>
  <si>
    <t>Equipos en desuso presentes en el área</t>
  </si>
  <si>
    <t>Obstrucción / golpes / acumulación</t>
  </si>
  <si>
    <t>Desalojo de los equipos en desuso</t>
  </si>
  <si>
    <t>Señalética con ubicación inadecuada</t>
  </si>
  <si>
    <t>Información de seguridad no visible / confusión</t>
  </si>
  <si>
    <t>Reubicación adecuada de la señalética</t>
  </si>
  <si>
    <t>Pared abierta</t>
  </si>
  <si>
    <t>Caída de objetos / exposición / deterioro</t>
  </si>
  <si>
    <t>Botoneras sin identificación</t>
  </si>
  <si>
    <t>Accionamiento incorrecto / atrapamiento</t>
  </si>
  <si>
    <t>Etiquetado correcto de mandos de operación</t>
  </si>
  <si>
    <t>31/7/20226</t>
  </si>
  <si>
    <t>Acople del tablero salido frente a cizallas</t>
  </si>
  <si>
    <t>Contacto eléctrico / golpe / daño de equipo</t>
  </si>
  <si>
    <t>Ubicar el acople y asegurarlo</t>
  </si>
  <si>
    <t>Pernos expuestos en canchas</t>
  </si>
  <si>
    <t>Golpe / corte / tropiezo</t>
  </si>
  <si>
    <t>Mantenimiento (General)</t>
  </si>
  <si>
    <t xml:space="preserve">NO APLICA </t>
  </si>
  <si>
    <t>Retiro de pernos de la cancha</t>
  </si>
  <si>
    <t>Señalética en cancha requiere retiro y almacenamiento temporal</t>
  </si>
  <si>
    <t>Golpe / obstáculo / confusión de punto de encuentro</t>
  </si>
  <si>
    <t>Retiro de la señaléticas de la cancha</t>
  </si>
  <si>
    <t>Paso no cerrado mientras había familias y niños dentro de planta; montacargas movilizando materiales</t>
  </si>
  <si>
    <t>Atropello / colisión / lesión grave a visitantes</t>
  </si>
  <si>
    <t>Crítica</t>
  </si>
  <si>
    <t>Cerrar paso peatonal</t>
  </si>
  <si>
    <t>Carpas del taller sin anclaje; se desplazan por viento</t>
  </si>
  <si>
    <t>Golpe / caída de estructura</t>
  </si>
  <si>
    <t>Anclaje de carpas</t>
  </si>
  <si>
    <t>Iluminación deficiente en puntos de revisión de cordones.</t>
  </si>
  <si>
    <t>Deterioro de visión</t>
  </si>
  <si>
    <t>Mejora Continua</t>
  </si>
  <si>
    <t>Instalación de iluminación lateral</t>
  </si>
  <si>
    <t>Buzos térmicos muy delgados, deben usar 1 o 2 prendas adicionales para mantener el calor</t>
  </si>
  <si>
    <t>Entrega de ropa térmica certificada</t>
  </si>
  <si>
    <t>Existe una luminaria fuera de servicio dentro del galpón.</t>
  </si>
  <si>
    <t>Reparación de luminaria</t>
  </si>
  <si>
    <t>El personal realiza maniobras sobre tableros eléctricos cuando se presentan fallas en los equipos,</t>
  </si>
  <si>
    <t>Limitar el acceso a los tableros eléctricos al personal no autorizado</t>
  </si>
  <si>
    <t>Uso de baldes como medio de acceso a tolvas de fundente por falta de acceso seguro.</t>
  </si>
  <si>
    <t>Caída a distinto nivel, golpes y lesiones.</t>
  </si>
  <si>
    <t>Adecuación de escalera para colocación de fundente</t>
  </si>
  <si>
    <t>Servicios sanitarios no habilitados en el área de trabajo.</t>
  </si>
  <si>
    <t>Afectación al bienestar y condiciones sanitarias del personal.</t>
  </si>
  <si>
    <t>Habilitación de sanitarios para uso del personal</t>
  </si>
  <si>
    <t>Extensión eléctrica de 110 V con conexiones sin caja o protección industrial.</t>
  </si>
  <si>
    <t>Contacto eléctrico, cortocircuito, electrocución o incendio.</t>
  </si>
  <si>
    <t>Colocación de cajetín para toma de 110v</t>
  </si>
  <si>
    <t>Falta de linternas integradas al casco para trabajos que requieren iluminación localizada.</t>
  </si>
  <si>
    <t>Baja visibilidad, errores operativos, golpes, tropiezos o caídas.</t>
  </si>
  <si>
    <t>Entrega de linternas para cascos</t>
  </si>
  <si>
    <t>Iluminación insuficiente y generación de zonas de sombra durante la operación del puente grúa.</t>
  </si>
  <si>
    <t>Baja visibilidad, golpes, atrapamientos o accidentes durante la operación.</t>
  </si>
  <si>
    <t>Instalación de luminarias en columnas laterales de la nave</t>
  </si>
  <si>
    <t>Ausencia de paso peatonal claramente definido en el área de operación de la máquina.</t>
  </si>
  <si>
    <t>Atropello, golpes o interacción peligrosa entre peatones y maquinaria.</t>
  </si>
  <si>
    <t>Delimitación de pasos peatonales</t>
  </si>
  <si>
    <t>Acceso a la nave con obstáculos e iluminación insuficiente en la rampa de ingreso.</t>
  </si>
  <si>
    <t>Tropiezos, caídas al mismo nivel y golpes.</t>
  </si>
  <si>
    <t>Retiro de obstáculos en el acceso a las nuevas naves</t>
  </si>
  <si>
    <t>Uso de perros, palancas y herramientas hechizas o improvisadas.</t>
  </si>
  <si>
    <t>Golpes, atrapamientos, cortes, proyección de objetos o falla de la herramienta.</t>
  </si>
  <si>
    <t>Estandarizar el modelo de palancas hechizas</t>
  </si>
  <si>
    <t>Insuficiencia de recursos de izaje, con una sola cadena compartida entre naves.</t>
  </si>
  <si>
    <t>Uso inadecuado de elementos de izaje, caída de cargas, golpes o atrapamientos.</t>
  </si>
  <si>
    <t>Entrega de cadenas de izaje para el uso en nuevas naves</t>
  </si>
  <si>
    <t>Ronal Columba, manipulación inadecuada de cargas</t>
  </si>
  <si>
    <t>Atrapamiento por o entre objetos</t>
  </si>
  <si>
    <t>Pintura Manual</t>
  </si>
  <si>
    <t>Retroalimentación cuidado de mannos</t>
  </si>
  <si>
    <t>Tipo de observación</t>
  </si>
  <si>
    <t>Riesgo</t>
  </si>
  <si>
    <t>Área</t>
  </si>
  <si>
    <t>Responsable de Área</t>
  </si>
  <si>
    <t>Responsable de Cierre</t>
  </si>
  <si>
    <t>Área (auxiliar DV)</t>
  </si>
  <si>
    <t>Rango de lista</t>
  </si>
  <si>
    <t>Valor único / respaldo</t>
  </si>
  <si>
    <t>Mantenimiento</t>
  </si>
  <si>
    <t>Edificio Administrativo</t>
  </si>
  <si>
    <t>Dispensario Médico</t>
  </si>
  <si>
    <t>Responsables de Cierre (auxiliar DV)</t>
  </si>
  <si>
    <t>Atrapamiento en instalaciones o estructuras</t>
  </si>
  <si>
    <t>Pablo Velasco</t>
  </si>
  <si>
    <t>ABIERTO</t>
  </si>
  <si>
    <t>'Listas'!$M$2:$M$19</t>
  </si>
  <si>
    <t>Corte &amp; Conformado (Área en general)</t>
  </si>
  <si>
    <t>Soldadura (Área en general)</t>
  </si>
  <si>
    <t>Paneles (Área en general)</t>
  </si>
  <si>
    <t>Viales (Área en general)</t>
  </si>
  <si>
    <t>Puentes grúa</t>
  </si>
  <si>
    <t>Taller de Mantenimiento (Área en general)</t>
  </si>
  <si>
    <t>Oficinas de Calidad</t>
  </si>
  <si>
    <t>Oficinas TI</t>
  </si>
  <si>
    <t>Camilla</t>
  </si>
  <si>
    <t>Brian Sarzosa</t>
  </si>
  <si>
    <t>CERRADO</t>
  </si>
  <si>
    <t>'Listas'!$N$2:$N$17</t>
  </si>
  <si>
    <t>Ar2000</t>
  </si>
  <si>
    <t>Prensa Bliss</t>
  </si>
  <si>
    <t>Plumas de Izaje</t>
  </si>
  <si>
    <t>Laboratorio</t>
  </si>
  <si>
    <t>Oficinas Finanzas</t>
  </si>
  <si>
    <t>Botiquín</t>
  </si>
  <si>
    <t>Atrapamiento por vuelco de máquinas, equipos o cargas</t>
  </si>
  <si>
    <t>Mario Guamán</t>
  </si>
  <si>
    <t>EN PROCESO</t>
  </si>
  <si>
    <t>'Listas'!$P$2:$P$16</t>
  </si>
  <si>
    <t>Corimpex I (Verde)</t>
  </si>
  <si>
    <t>Roladora</t>
  </si>
  <si>
    <t>Camas de Izaje</t>
  </si>
  <si>
    <t>Oficinas Recepción</t>
  </si>
  <si>
    <t>Sistema de Emergencias</t>
  </si>
  <si>
    <t>Atropello, golpe o choque con vehículos</t>
  </si>
  <si>
    <t>Daniel Espinoza</t>
  </si>
  <si>
    <t>ATRASADO</t>
  </si>
  <si>
    <t>'Listas'!$O$2:$O$15</t>
  </si>
  <si>
    <t>Corimpex I (Roja)</t>
  </si>
  <si>
    <t>Novateja</t>
  </si>
  <si>
    <t>Caldero</t>
  </si>
  <si>
    <t>Oficinas Ingeniería</t>
  </si>
  <si>
    <t>Interacción entre peatones, vehículos y montacargas</t>
  </si>
  <si>
    <t>Alejandro Pesantez</t>
  </si>
  <si>
    <t>'Listas'!$Q$2:$Q$10</t>
  </si>
  <si>
    <t>Corimpex H</t>
  </si>
  <si>
    <t>Estación de Combustible</t>
  </si>
  <si>
    <t>Oficinas Compras</t>
  </si>
  <si>
    <t>Circulación de vehículos en áreas de trabajo</t>
  </si>
  <si>
    <t>André Cobo</t>
  </si>
  <si>
    <t>'Listas'!$K$7:$K$7</t>
  </si>
  <si>
    <t>Corte planchas</t>
  </si>
  <si>
    <t>Limpieza de Vigas</t>
  </si>
  <si>
    <t>Tanques de Ácido Clorhídrico</t>
  </si>
  <si>
    <t>Cámara de Transformación CT2</t>
  </si>
  <si>
    <t>Oficinas Monitoreo</t>
  </si>
  <si>
    <t>Caída de personas al mismo nivel</t>
  </si>
  <si>
    <t>Edison Lema</t>
  </si>
  <si>
    <t>'Listas'!$R$2:$R$16</t>
  </si>
  <si>
    <t>Curvadora</t>
  </si>
  <si>
    <t>Cámara de Transformación CT3</t>
  </si>
  <si>
    <t>Oficinas Ventas</t>
  </si>
  <si>
    <t>Trabajo en alturas: caída a distinto nivel</t>
  </si>
  <si>
    <t>Sebastián Balseca</t>
  </si>
  <si>
    <t>Cabina de Pintura</t>
  </si>
  <si>
    <t>Oficinas de Logística</t>
  </si>
  <si>
    <t>Elevador Genie Articulado</t>
  </si>
  <si>
    <t>Oficinas Contabilidad</t>
  </si>
  <si>
    <t>Caída de objetos en manipulación</t>
  </si>
  <si>
    <t>Henry Narváez</t>
  </si>
  <si>
    <t>'Listas'!$K$10:$K$10</t>
  </si>
  <si>
    <t>DRT</t>
  </si>
  <si>
    <t>Oficinas Proyectos Externos</t>
  </si>
  <si>
    <t>Caída de objetos desprendidos</t>
  </si>
  <si>
    <t>Gabriela Murillo</t>
  </si>
  <si>
    <t>'Listas'!$S$2:$S$3</t>
  </si>
  <si>
    <t>Estiloc</t>
  </si>
  <si>
    <t>Oficinas I+D</t>
  </si>
  <si>
    <t>Caída de materiales almacenados o apilados</t>
  </si>
  <si>
    <t>Omar Querembas</t>
  </si>
  <si>
    <t>'Listas'!$K$12:$K$12</t>
  </si>
  <si>
    <t>Oficinas de Corte &amp; Conformado</t>
  </si>
  <si>
    <t>Oficinas de Soldadura</t>
  </si>
  <si>
    <t>Oficinas de Viales</t>
  </si>
  <si>
    <t>Oficinas BIM</t>
  </si>
  <si>
    <t>Choque o golpe contra objetos inmóviles o superficies</t>
  </si>
  <si>
    <t>Martha Batallas</t>
  </si>
  <si>
    <t>Lizbeth Ambuludi</t>
  </si>
  <si>
    <t>'Listas'!$U$2:$U$4</t>
  </si>
  <si>
    <t>Complementaria</t>
  </si>
  <si>
    <t>Planta de Aire Comprimido</t>
  </si>
  <si>
    <t>Oficinas Marketing</t>
  </si>
  <si>
    <t>Choque o golpe contra objetos móviles</t>
  </si>
  <si>
    <t>Monitoreo</t>
  </si>
  <si>
    <t>Cristian Sasnalema</t>
  </si>
  <si>
    <t>'Listas'!$K$14:$K$14</t>
  </si>
  <si>
    <t>Oficinas de Paneles</t>
  </si>
  <si>
    <t>Tanque Diario de Diésel</t>
  </si>
  <si>
    <t>Oficinas Crédito y Cobranzas</t>
  </si>
  <si>
    <t>Proyección de partículas</t>
  </si>
  <si>
    <t>Estefanía Guilcapi</t>
  </si>
  <si>
    <t>'Listas'!$K$15:$K$15</t>
  </si>
  <si>
    <t>Tijera de Izaje</t>
  </si>
  <si>
    <t>Oficinas de Mantenimiento</t>
  </si>
  <si>
    <t>Oficinas Planificación</t>
  </si>
  <si>
    <t>Superficies irregulares, resbalosas o en mal estado</t>
  </si>
  <si>
    <t>N/A</t>
  </si>
  <si>
    <t>'Listas'!$T$2:$T$19</t>
  </si>
  <si>
    <t>Oficinas Comercio Exterior</t>
  </si>
  <si>
    <t>Luis Sánchez</t>
  </si>
  <si>
    <t>Plataformas de trabajo inseguras o inadecuadas</t>
  </si>
  <si>
    <t xml:space="preserve">Garita peatonal </t>
  </si>
  <si>
    <t>Garita peatonal</t>
  </si>
  <si>
    <t>'Listas'!$K$17:$K$17</t>
  </si>
  <si>
    <t>Oficinas SGI</t>
  </si>
  <si>
    <t>Santiago Gonzáles</t>
  </si>
  <si>
    <t>Gradas, desniveles o alturas sin pasamanos</t>
  </si>
  <si>
    <t xml:space="preserve">Garita báscula </t>
  </si>
  <si>
    <t>Garita báscula</t>
  </si>
  <si>
    <t>'Listas'!$K$18:$K$18</t>
  </si>
  <si>
    <t>Plasma Manual</t>
  </si>
  <si>
    <t>Oficinas Comercial</t>
  </si>
  <si>
    <t>Pablo Arias</t>
  </si>
  <si>
    <t>Punción o perforación por objetos cortopunzantes</t>
  </si>
  <si>
    <t>Edificio de Planta</t>
  </si>
  <si>
    <t>'Listas'!$K$19:$K$19</t>
  </si>
  <si>
    <t>Iván Sánchez</t>
  </si>
  <si>
    <t>Contacto con elementos cortantes</t>
  </si>
  <si>
    <t>'Listas'!$K$20:$K$20</t>
  </si>
  <si>
    <t>Luis Pilco</t>
  </si>
  <si>
    <t>Manejo de herramientas cortopunzantes</t>
  </si>
  <si>
    <t>'Listas'!$K$21:$K$21</t>
  </si>
  <si>
    <t>Gabriel Garzón</t>
  </si>
  <si>
    <t>Manejo de herramientas manuales</t>
  </si>
  <si>
    <t>Manejo de herramientas motorizadas eléctricas, neumáticas, hidráulicas o de combustión</t>
  </si>
  <si>
    <t>'Listas'!$K$23:$K$23</t>
  </si>
  <si>
    <t>Herramientas o equipos defectuosos</t>
  </si>
  <si>
    <t>Operación de maquinaria y equipos</t>
  </si>
  <si>
    <t>Partes móviles sin guardas o protecciones</t>
  </si>
  <si>
    <t>Falla o ausencia de dispositivos de seguridad en máquinas</t>
  </si>
  <si>
    <t>Arranque inesperado de máquinas o equipos</t>
  </si>
  <si>
    <t>Liberación inesperada de energía peligrosa</t>
  </si>
  <si>
    <t>Ausencia o falla de bloqueo y etiquetado de energías</t>
  </si>
  <si>
    <t>Contacto eléctrico directo</t>
  </si>
  <si>
    <t>Contacto eléctrico indirecto</t>
  </si>
  <si>
    <t>Electricidad estática</t>
  </si>
  <si>
    <t>Equipos y recipientes a presión</t>
  </si>
  <si>
    <t>Liberación de fluidos a presión</t>
  </si>
  <si>
    <t>Contacto con fluidos calientes</t>
  </si>
  <si>
    <t>Contacto térmico con superficies o materiales calientes</t>
  </si>
  <si>
    <t>Contacto con fluidos criogénicos o extremadamente fríos</t>
  </si>
  <si>
    <t>Cargas suspendidas</t>
  </si>
  <si>
    <t>Falla de accesorios o equipos de izaje</t>
  </si>
  <si>
    <t>Vuelco de equipos móviles</t>
  </si>
  <si>
    <t>Colapso de estanterías, estructuras o andamios</t>
  </si>
  <si>
    <t>Desplome, derrumbamiento o colapso estructural</t>
  </si>
  <si>
    <t>Excavaciones y zanjas</t>
  </si>
  <si>
    <t>Hundimiento o inestabilidad del terreno</t>
  </si>
  <si>
    <t>Espacios confinados</t>
  </si>
  <si>
    <t>Incendio</t>
  </si>
  <si>
    <t>Explosión o deflagración</t>
  </si>
  <si>
    <t>Manejo de explosivos</t>
  </si>
  <si>
    <t>Ahogamiento o inmersión</t>
  </si>
  <si>
    <t>Operaciones simultáneas o interferencia entre trabajos</t>
  </si>
  <si>
    <t>Falta de coordinación entre empresas contratistas</t>
  </si>
  <si>
    <t>Accesos, pasillos o salidas de emergencia obstruidos</t>
  </si>
  <si>
    <t>Sistemas de emergencia fuera de servicio</t>
  </si>
  <si>
    <t>Señalización o delimitación deficiente</t>
  </si>
  <si>
    <t>Almacenamiento inadecuado de materiales</t>
  </si>
  <si>
    <t>Apilamiento inestable de materiales</t>
  </si>
  <si>
    <t>Uso inadecuado, ausencia o falla de EPP</t>
  </si>
  <si>
    <t>Falta de mantenimiento preventivo</t>
  </si>
  <si>
    <t>Falta de procedimientos o permisos de trabajo</t>
  </si>
  <si>
    <t>Falta de capacitación o entrenamiento</t>
  </si>
  <si>
    <t>Trabajo en solitario o aislado</t>
  </si>
  <si>
    <t>Orden y limpieza deficientes</t>
  </si>
  <si>
    <t>Exposición a radiación solar</t>
  </si>
  <si>
    <t>Estrés térmico por calor</t>
  </si>
  <si>
    <t>Estrés térmico por frío</t>
  </si>
  <si>
    <t>Exposición a temperaturas extremas</t>
  </si>
  <si>
    <t>Iluminación deficiente o inadecuada</t>
  </si>
  <si>
    <t>Radiación ionizante</t>
  </si>
  <si>
    <t>Radiación no ionizante</t>
  </si>
  <si>
    <t>Ruido</t>
  </si>
  <si>
    <t>Ventilación deficiente</t>
  </si>
  <si>
    <t>Exposición a presiones anormales</t>
  </si>
  <si>
    <t>Campos magnéticos</t>
  </si>
  <si>
    <t>Vibraciones</t>
  </si>
  <si>
    <t>Calidad de aire interior deficiente</t>
  </si>
  <si>
    <t>Cambios bruscos de temperatura</t>
  </si>
  <si>
    <t>Humedad ambiental excesiva o insuficiente</t>
  </si>
  <si>
    <t>Contacto con sustancias químicas</t>
  </si>
  <si>
    <t>Manipulación de productos químicos sólidos o líquidos</t>
  </si>
  <si>
    <t>Exposición a polvo inorgánico mineral o metálico</t>
  </si>
  <si>
    <t>Exposición a polvo orgánico</t>
  </si>
  <si>
    <t>Presencia de gases de soldadura</t>
  </si>
  <si>
    <t>Presencia de gases tóxicos o asfixiantes</t>
  </si>
  <si>
    <t>Presencia de vapores</t>
  </si>
  <si>
    <t>Presencia de humos metálicos</t>
  </si>
  <si>
    <t>Presencia de nieblas o neblinas</t>
  </si>
  <si>
    <t>Manejo de productos inflamables</t>
  </si>
  <si>
    <t>Exposición a sustancias corrosivas</t>
  </si>
  <si>
    <t>Exposición a sustancias tóxicas</t>
  </si>
  <si>
    <t>Derrame o fuga de sustancias peligrosas</t>
  </si>
  <si>
    <t>Incompatibilidad química entre productos</t>
  </si>
  <si>
    <t>Reacción química no controlada</t>
  </si>
  <si>
    <t>Atmósfera deficiente o enriquecida en oxígeno</t>
  </si>
  <si>
    <t>Almacenamiento inadecuado de sustancias químicas</t>
  </si>
  <si>
    <t>Falta de etiquetado o identificación de productos químicos</t>
  </si>
  <si>
    <t>Animales peligrosos</t>
  </si>
  <si>
    <t>Animales venenosos o ponzoñosos</t>
  </si>
  <si>
    <t>Picaduras o mordeduras de insectos</t>
  </si>
  <si>
    <t>Presencia de vectores biológicos</t>
  </si>
  <si>
    <t>Exposición a virus, bacterias, hongos o parásitos</t>
  </si>
  <si>
    <t>Exposición a sangre o fluidos corporales</t>
  </si>
  <si>
    <t>Manejo de residuos biológicos o contaminados</t>
  </si>
  <si>
    <t>Exposición a agua contaminada</t>
  </si>
  <si>
    <t>Contacto con material biológico</t>
  </si>
  <si>
    <t>Condiciones sanitarias deficientes</t>
  </si>
  <si>
    <t>Sobreesfuerzo físico</t>
  </si>
  <si>
    <t>Manipulación manual de cargas</t>
  </si>
  <si>
    <t>Levantamiento manual de cargas</t>
  </si>
  <si>
    <t>Empuje o arrastre de cargas</t>
  </si>
  <si>
    <t>Aplicación excesiva de fuerza</t>
  </si>
  <si>
    <t>Movimientos repetitivos</t>
  </si>
  <si>
    <t>Posición forzada de pie</t>
  </si>
  <si>
    <t>Posición forzada sentada</t>
  </si>
  <si>
    <t>Posturas incorrectas durante el trabajo</t>
  </si>
  <si>
    <t>Posturas estáticas prolongadas</t>
  </si>
  <si>
    <t>Dimensiones inadecuadas del puesto de trabajo</t>
  </si>
  <si>
    <t>Puesto de trabajo con pantalla de visualización de datos</t>
  </si>
  <si>
    <t>Alcances excesivos o fuera de la zona de confort</t>
  </si>
  <si>
    <t>Altura inadecuada de superficies de trabajo</t>
  </si>
  <si>
    <t>Diseño inadecuado de herramientas o equipos</t>
  </si>
  <si>
    <t>Disconfort térmico, acústico o lumínico</t>
  </si>
  <si>
    <t>Falta de pausas de recuperación</t>
  </si>
  <si>
    <t>Turnos rotativos</t>
  </si>
  <si>
    <t>Trabajo nocturno</t>
  </si>
  <si>
    <t>Jornadas prolongadas</t>
  </si>
  <si>
    <t>Pausas o descansos insuficientes</t>
  </si>
  <si>
    <t>Fatiga y somnolencia</t>
  </si>
  <si>
    <t>Trabajo bajo presión</t>
  </si>
  <si>
    <t>Presión de tiempo</t>
  </si>
  <si>
    <t>Ritmo de trabajo elevado</t>
  </si>
  <si>
    <t>Alta responsabilidad y consecuencias del error</t>
  </si>
  <si>
    <t>Sobrecarga mental</t>
  </si>
  <si>
    <t>Sobrecarga de trabajo</t>
  </si>
  <si>
    <t>Minuciosidad o alta concentración de la tarea</t>
  </si>
  <si>
    <t>Trabajo monótono</t>
  </si>
  <si>
    <t>Inestabilidad en el empleo</t>
  </si>
  <si>
    <t>Déficit en la comunicación</t>
  </si>
  <si>
    <t>Supervisión inadecuada</t>
  </si>
  <si>
    <t>Relaciones interpersonales inadecuadas o deterioradas</t>
  </si>
  <si>
    <t>Falta de participación y apoyo organizacional</t>
  </si>
  <si>
    <t>Desarraigo familiar</t>
  </si>
  <si>
    <t>Agresión, maltrato o violencia laboral</t>
  </si>
  <si>
    <t>Acoso laboral</t>
  </si>
  <si>
    <t>Acoso sexual</t>
  </si>
  <si>
    <t>Violencia de terceros</t>
  </si>
  <si>
    <t>Ambigüedad o falta de claridad del rol</t>
  </si>
  <si>
    <t>Conflicto de rol</t>
  </si>
  <si>
    <t>Falta de reconocimiento</t>
  </si>
  <si>
    <t>Baja autonomía o falta de control sobre el trabajo</t>
  </si>
  <si>
    <t>Amenaza delincuencial, robo o asalto</t>
  </si>
  <si>
    <t>Demandas emocionales elevadas</t>
  </si>
  <si>
    <t>Conflicto entre trabajo y vida familiar</t>
  </si>
  <si>
    <t>Falta de apoyo de compañeros o superiores</t>
  </si>
  <si>
    <t>Cambios organizacionales mal gestionados</t>
  </si>
  <si>
    <t>Discriminación laboral</t>
  </si>
  <si>
    <t>Máquinas de Corte &amp; Conformado</t>
  </si>
  <si>
    <t>Máquinas de Corte &amp; Conformado2</t>
  </si>
  <si>
    <t>Máquinas Paneles</t>
  </si>
  <si>
    <t>Máquinas Viales</t>
  </si>
  <si>
    <t>Máquinas Logística</t>
  </si>
  <si>
    <t>Máquinas Mantenimiento</t>
  </si>
  <si>
    <t>Máquinas Calidad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</si>
</sst>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;;;"/>
  </numFmts>
  <fonts count="5">
    <font>
      <sz val="11"/>
      <color theme="1"/>
      <name val="Calibri"/>
    </font>
    <font>
      <b/>
      <sz val="11"/>
      <color theme="1"/>
      <name val="Calibri"/>
      <family val="2"/>
    </font>
    <font>
      <sz val="11"/>
      <color rgb="FF000000"/>
      <name val="Aptos Narrow"/>
    </font>
    <font>
      <sz val="11"/>
      <color rgb="FFFF0000"/>
      <name val="Calibri"/>
      <family val="2"/>
    </font>
    <font>
      <sz val="11"/>
      <color rgb="FF00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theme="5" tint="0.79985961485641044"/>
        <bgColor indexed="65"/>
      </patternFill>
    </fill>
    <fill>
      <patternFill patternType="solid">
        <fgColor theme="6" tint="0.79985961485641044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 tint="0.79985961485641044"/>
        <bgColor indexed="65"/>
      </patternFill>
    </fill>
    <fill>
      <patternFill patternType="solid">
        <fgColor rgb="FF92D050"/>
      </patternFill>
    </fill>
    <fill>
      <patternFill patternType="solid">
        <fgColor theme="4" tint="0.79985961485641044"/>
        <bgColor indexed="65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D9EAF7"/>
      </patternFill>
    </fill>
    <fill>
      <patternFill patternType="solid">
        <fgColor theme="3" tint="0.39997558519241921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2" tint="-9.9978637043366805E-2"/>
        <bgColor indexed="65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86">
    <xf numFmtId="0" fontId="0" fillId="0" borderId="0" xfId="0"/>
    <xf numFmtId="0" fontId="0" fillId="0" borderId="2" xfId="0" applyBorder="1"/>
    <xf numFmtId="0" fontId="0" fillId="0" borderId="6" xfId="0" applyBorder="1"/>
    <xf numFmtId="0" fontId="1" fillId="0" borderId="0" xfId="0" applyFont="1"/>
    <xf numFmtId="0" fontId="0" fillId="2" borderId="0" xfId="0" applyFill="1"/>
    <xf numFmtId="0" fontId="0" fillId="2" borderId="2" xfId="0" applyFill="1" applyBorder="1"/>
    <xf numFmtId="14" fontId="0" fillId="6" borderId="9" xfId="0" applyNumberFormat="1" applyFill="1" applyBorder="1"/>
    <xf numFmtId="0" fontId="0" fillId="0" borderId="1" xfId="0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2" borderId="1" xfId="0" applyNumberFormat="1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4" fontId="0" fillId="8" borderId="1" xfId="0" applyNumberFormat="1" applyFill="1" applyBorder="1" applyAlignment="1">
      <alignment vertical="center" wrapText="1"/>
    </xf>
    <xf numFmtId="14" fontId="0" fillId="0" borderId="2" xfId="0" applyNumberFormat="1" applyBorder="1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3" borderId="2" xfId="0" applyFill="1" applyBorder="1" applyAlignment="1">
      <alignment vertical="center" wrapText="1"/>
    </xf>
    <xf numFmtId="14" fontId="0" fillId="3" borderId="2" xfId="0" applyNumberForma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1" xfId="0" applyFill="1" applyBorder="1" applyAlignment="1">
      <alignment vertical="center"/>
    </xf>
    <xf numFmtId="0" fontId="0" fillId="0" borderId="0" xfId="0" applyAlignment="1">
      <alignment vertical="center"/>
    </xf>
    <xf numFmtId="0" fontId="3" fillId="0" borderId="1" xfId="0" applyFont="1" applyBorder="1" applyAlignment="1">
      <alignment vertical="center" wrapText="1"/>
    </xf>
    <xf numFmtId="14" fontId="3" fillId="0" borderId="1" xfId="0" applyNumberFormat="1" applyFont="1" applyBorder="1" applyAlignment="1">
      <alignment vertical="center" wrapText="1"/>
    </xf>
    <xf numFmtId="14" fontId="1" fillId="3" borderId="1" xfId="0" applyNumberFormat="1" applyFont="1" applyFill="1" applyBorder="1" applyAlignment="1">
      <alignment vertical="center" wrapText="1"/>
    </xf>
    <xf numFmtId="0" fontId="1" fillId="3" borderId="3" xfId="0" applyFont="1" applyFill="1" applyBorder="1" applyAlignment="1">
      <alignment vertical="center" wrapText="1"/>
    </xf>
    <xf numFmtId="0" fontId="0" fillId="0" borderId="1" xfId="0" applyBorder="1"/>
    <xf numFmtId="14" fontId="0" fillId="0" borderId="1" xfId="0" applyNumberFormat="1" applyBorder="1"/>
    <xf numFmtId="14" fontId="0" fillId="0" borderId="3" xfId="0" applyNumberFormat="1" applyBorder="1"/>
    <xf numFmtId="0" fontId="0" fillId="0" borderId="3" xfId="0" applyBorder="1"/>
    <xf numFmtId="0" fontId="0" fillId="4" borderId="0" xfId="0" applyFill="1"/>
    <xf numFmtId="0" fontId="0" fillId="5" borderId="0" xfId="0" applyFill="1"/>
    <xf numFmtId="14" fontId="0" fillId="0" borderId="2" xfId="0" applyNumberFormat="1" applyBorder="1"/>
    <xf numFmtId="0" fontId="0" fillId="3" borderId="0" xfId="0" applyFill="1"/>
    <xf numFmtId="14" fontId="0" fillId="0" borderId="0" xfId="0" applyNumberFormat="1"/>
    <xf numFmtId="0" fontId="0" fillId="0" borderId="5" xfId="0" applyBorder="1" applyAlignment="1">
      <alignment vertical="center" wrapText="1"/>
    </xf>
    <xf numFmtId="0" fontId="0" fillId="3" borderId="2" xfId="0" applyFill="1" applyBorder="1"/>
    <xf numFmtId="0" fontId="0" fillId="0" borderId="1" xfId="0" applyBorder="1" applyAlignment="1">
      <alignment wrapText="1"/>
    </xf>
    <xf numFmtId="0" fontId="1" fillId="0" borderId="2" xfId="0" applyFont="1" applyBorder="1"/>
    <xf numFmtId="0" fontId="2" fillId="0" borderId="2" xfId="0" applyFont="1" applyBorder="1"/>
    <xf numFmtId="0" fontId="2" fillId="3" borderId="2" xfId="0" applyFont="1" applyFill="1" applyBorder="1"/>
    <xf numFmtId="0" fontId="2" fillId="2" borderId="2" xfId="0" applyFont="1" applyFill="1" applyBorder="1"/>
    <xf numFmtId="0" fontId="0" fillId="3" borderId="1" xfId="0" applyFill="1" applyBorder="1"/>
    <xf numFmtId="1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7" borderId="2" xfId="0" applyFill="1" applyBorder="1" applyAlignment="1">
      <alignment vertical="center" wrapText="1"/>
    </xf>
    <xf numFmtId="0" fontId="0" fillId="9" borderId="2" xfId="0" applyFill="1" applyBorder="1"/>
    <xf numFmtId="0" fontId="0" fillId="3" borderId="8" xfId="0" applyFill="1" applyBorder="1" applyAlignment="1">
      <alignment vertical="center" wrapText="1"/>
    </xf>
    <xf numFmtId="0" fontId="0" fillId="3" borderId="6" xfId="0" applyFill="1" applyBorder="1" applyAlignment="1">
      <alignment vertical="center" wrapText="1"/>
    </xf>
    <xf numFmtId="0" fontId="1" fillId="3" borderId="11" xfId="0" applyFont="1" applyFill="1" applyBorder="1" applyAlignment="1">
      <alignment vertical="center" wrapText="1"/>
    </xf>
    <xf numFmtId="0" fontId="1" fillId="3" borderId="10" xfId="0" applyFont="1" applyFill="1" applyBorder="1" applyAlignment="1">
      <alignment vertical="center" wrapText="1"/>
    </xf>
    <xf numFmtId="0" fontId="1" fillId="3" borderId="12" xfId="0" applyFont="1" applyFill="1" applyBorder="1" applyAlignment="1">
      <alignment vertical="center" wrapText="1"/>
    </xf>
    <xf numFmtId="14" fontId="0" fillId="3" borderId="6" xfId="0" applyNumberFormat="1" applyFill="1" applyBorder="1"/>
    <xf numFmtId="0" fontId="0" fillId="3" borderId="6" xfId="0" applyFill="1" applyBorder="1"/>
    <xf numFmtId="0" fontId="0" fillId="3" borderId="6" xfId="0" applyFill="1" applyBorder="1" applyAlignment="1">
      <alignment wrapText="1"/>
    </xf>
    <xf numFmtId="14" fontId="0" fillId="3" borderId="1" xfId="0" applyNumberFormat="1" applyFill="1" applyBorder="1"/>
    <xf numFmtId="14" fontId="0" fillId="3" borderId="7" xfId="0" applyNumberFormat="1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4" xfId="0" applyFill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14" fontId="0" fillId="3" borderId="2" xfId="0" applyNumberFormat="1" applyFill="1" applyBorder="1"/>
    <xf numFmtId="0" fontId="0" fillId="3" borderId="2" xfId="0" applyFill="1" applyBorder="1" applyAlignment="1">
      <alignment wrapText="1"/>
    </xf>
    <xf numFmtId="0" fontId="0" fillId="3" borderId="3" xfId="0" applyFill="1" applyBorder="1"/>
    <xf numFmtId="0" fontId="0" fillId="3" borderId="3" xfId="0" applyFill="1" applyBorder="1" applyAlignment="1">
      <alignment vertical="center" wrapText="1"/>
    </xf>
    <xf numFmtId="14" fontId="0" fillId="3" borderId="3" xfId="0" applyNumberFormat="1" applyFill="1" applyBorder="1" applyAlignment="1">
      <alignment vertical="center" wrapText="1"/>
    </xf>
    <xf numFmtId="0" fontId="4" fillId="3" borderId="2" xfId="0" applyFont="1" applyFill="1" applyBorder="1"/>
    <xf numFmtId="14" fontId="0" fillId="9" borderId="2" xfId="0" applyNumberFormat="1" applyFill="1" applyBorder="1"/>
    <xf numFmtId="0" fontId="0" fillId="9" borderId="2" xfId="0" applyFill="1" applyBorder="1" applyAlignment="1">
      <alignment vertical="center" wrapText="1"/>
    </xf>
    <xf numFmtId="0" fontId="0" fillId="9" borderId="0" xfId="0" applyFill="1"/>
    <xf numFmtId="0" fontId="0" fillId="0" borderId="4" xfId="0" applyBorder="1"/>
    <xf numFmtId="0" fontId="0" fillId="0" borderId="13" xfId="0" applyBorder="1"/>
    <xf numFmtId="0" fontId="0" fillId="0" borderId="14" xfId="0" applyBorder="1"/>
    <xf numFmtId="0" fontId="1" fillId="10" borderId="0" xfId="0" applyFont="1" applyFill="1"/>
    <xf numFmtId="0" fontId="0" fillId="10" borderId="0" xfId="0" applyFill="1"/>
    <xf numFmtId="0" fontId="0" fillId="10" borderId="0" xfId="0" applyFill="1" applyAlignment="1">
      <alignment horizontal="center" vertical="center"/>
    </xf>
    <xf numFmtId="0" fontId="0" fillId="11" borderId="1" xfId="0" applyFill="1" applyBorder="1"/>
    <xf numFmtId="0" fontId="1" fillId="12" borderId="0" xfId="0" applyNumberFormat="1" applyFont="1" applyFill="1" applyBorder="1" applyAlignment="1">
      <alignment wrapText="1"/>
    </xf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164" fontId="0" fillId="0" borderId="0" xfId="0" applyNumberFormat="1" applyFont="1" applyFill="1" applyBorder="1"/>
    <xf numFmtId="164" fontId="0" fillId="3" borderId="0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1" name="SYSO" displayName="SYSO" ref="B2:J22">
  <autoFilter ref="B2:J22"/>
  <tableColumns count="9">
    <tableColumn id="1" name="Máquinas de Corte &amp; Conformado"/>
    <tableColumn id="2" name="Máquinas de Corte &amp; Conformado2"/>
    <tableColumn id="3" name="Máquinas Paneles"/>
    <tableColumn id="4" name="Máquinas Viales"/>
    <tableColumn id="5" name="Máquinas Logística"/>
    <tableColumn id="6" name="Máquinas Mantenimiento"/>
    <tableColumn id="7" name="Máquinas Calidad"/>
    <tableColumn id="8" name="Edificio Administrativo"/>
    <tableColumn id="9" name="Dispensario Médico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R389"/>
  <sheetViews>
    <sheetView tabSelected="1" workbookViewId="0">
      <selection activeCell="F19" sqref="F19"/>
    </sheetView>
  </sheetViews>
  <sheetFormatPr baseColWidth="10" defaultColWidth="11.44140625" defaultRowHeight="14.4"/>
  <cols>
    <col min="2" max="2" width="11.44140625" style="34"/>
    <col min="3" max="3" width="20.88671875" style="21" customWidth="1"/>
    <col min="4" max="4" width="58.33203125" customWidth="1"/>
    <col min="5" max="5" width="39.109375" customWidth="1"/>
    <col min="6" max="6" width="37.5546875" customWidth="1"/>
    <col min="7" max="7" width="24" customWidth="1"/>
    <col min="8" max="8" width="29.44140625" customWidth="1"/>
    <col min="9" max="9" width="29.5546875" customWidth="1"/>
    <col min="10" max="10" width="46.77734375" customWidth="1"/>
    <col min="11" max="11" width="29.88671875" customWidth="1"/>
    <col min="12" max="12" width="20.6640625" customWidth="1"/>
    <col min="13" max="13" width="21.88671875" customWidth="1"/>
    <col min="15" max="15" width="14.109375" customWidth="1"/>
    <col min="16" max="16" width="2" customWidth="1"/>
  </cols>
  <sheetData>
    <row r="1" spans="1:16" ht="6.15" customHeight="1">
      <c r="A1" s="49" t="s">
        <v>0</v>
      </c>
      <c r="B1" s="50"/>
      <c r="C1" s="50"/>
      <c r="D1" s="50"/>
      <c r="E1" s="50"/>
      <c r="F1" s="51"/>
      <c r="G1" s="50"/>
      <c r="H1" s="50"/>
      <c r="I1" s="50"/>
      <c r="J1" s="50"/>
      <c r="K1" s="50"/>
      <c r="L1" s="50"/>
      <c r="M1" s="50"/>
      <c r="N1" s="50"/>
      <c r="O1" s="50"/>
    </row>
    <row r="2" spans="1:16" s="19" customFormat="1" ht="9.3000000000000007" customHeight="1">
      <c r="A2" s="18" t="s">
        <v>1</v>
      </c>
      <c r="B2" s="24" t="s">
        <v>2</v>
      </c>
      <c r="C2" s="18" t="s">
        <v>3</v>
      </c>
      <c r="D2" s="18" t="s">
        <v>4</v>
      </c>
      <c r="E2" s="18" t="s">
        <v>5</v>
      </c>
      <c r="F2" s="18" t="s">
        <v>6</v>
      </c>
      <c r="G2" s="18" t="s">
        <v>7</v>
      </c>
      <c r="H2" s="18" t="s">
        <v>8</v>
      </c>
      <c r="I2" s="18" t="s">
        <v>9</v>
      </c>
      <c r="J2" s="18" t="s">
        <v>10</v>
      </c>
      <c r="K2" s="18" t="s">
        <v>11</v>
      </c>
      <c r="L2" s="25" t="s">
        <v>12</v>
      </c>
      <c r="M2" s="25" t="s">
        <v>13</v>
      </c>
      <c r="N2" s="18" t="s">
        <v>14</v>
      </c>
      <c r="O2" s="18" t="s">
        <v>15</v>
      </c>
      <c r="P2" s="84"/>
    </row>
    <row r="3" spans="1:16">
      <c r="A3" s="26">
        <v>1</v>
      </c>
      <c r="B3" s="27">
        <v>46056</v>
      </c>
      <c r="C3" s="20" t="s">
        <v>16</v>
      </c>
      <c r="D3" s="26" t="s">
        <v>17</v>
      </c>
      <c r="E3" s="26" t="s">
        <v>18</v>
      </c>
      <c r="F3" s="26" t="s">
        <v>19</v>
      </c>
      <c r="G3" s="26" t="s">
        <v>20</v>
      </c>
      <c r="H3" s="15" t="s">
        <v>21</v>
      </c>
      <c r="I3" s="26" t="str">
        <f>IF(G3="","",IFERROR(VLOOKUP(G3,Listas!$D$2:$E$23,2,FALSE),""))</f>
        <v>Pablo Velasco</v>
      </c>
      <c r="J3" s="26" t="s">
        <v>22</v>
      </c>
      <c r="K3" s="76"/>
      <c r="L3" s="26"/>
      <c r="M3" s="27">
        <f t="shared" ref="M3:M30" si="0">B3</f>
        <v>46056</v>
      </c>
      <c r="N3" s="26" t="str">
        <f t="shared" ref="N3:N30" ca="1" si="1">IF(M3&lt;TODAY(),"CERRADO","ABIERTO")</f>
        <v>CERRADO</v>
      </c>
      <c r="O3" s="26"/>
      <c r="P3" s="84" t="str">
        <f>IFERROR(VLOOKUP(G3,Listas!$I$2:$J$23,2,FALSE),"")</f>
        <v>'Listas'!$M$2:$M$19</v>
      </c>
    </row>
    <row r="4" spans="1:16">
      <c r="A4" s="26">
        <v>2</v>
      </c>
      <c r="B4" s="27">
        <v>46077</v>
      </c>
      <c r="C4" s="20" t="s">
        <v>23</v>
      </c>
      <c r="D4" s="26" t="s">
        <v>24</v>
      </c>
      <c r="E4" s="26" t="s">
        <v>25</v>
      </c>
      <c r="F4" s="26" t="s">
        <v>19</v>
      </c>
      <c r="G4" s="26" t="s">
        <v>52</v>
      </c>
      <c r="H4" s="15" t="s">
        <v>26</v>
      </c>
      <c r="I4" s="26" t="str">
        <f>IF(G4="","",IFERROR(VLOOKUP(G4,Listas!$D$2:$E$23,2,FALSE),""))</f>
        <v>André Cobo</v>
      </c>
      <c r="J4" s="26" t="s">
        <v>27</v>
      </c>
      <c r="K4" s="26"/>
      <c r="L4" s="26"/>
      <c r="M4" s="27">
        <f t="shared" si="0"/>
        <v>46077</v>
      </c>
      <c r="N4" s="26" t="str">
        <f t="shared" ca="1" si="1"/>
        <v>CERRADO</v>
      </c>
      <c r="O4" s="26"/>
      <c r="P4" s="84" t="str">
        <f>IFERROR(VLOOKUP(G4,Listas!$I$2:$J$23,2,FALSE),"")</f>
        <v>'Listas'!$K$7:$K$7</v>
      </c>
    </row>
    <row r="5" spans="1:16">
      <c r="A5" s="26">
        <v>3</v>
      </c>
      <c r="B5" s="27">
        <v>46078</v>
      </c>
      <c r="C5" s="20" t="s">
        <v>23</v>
      </c>
      <c r="D5" s="26" t="s">
        <v>28</v>
      </c>
      <c r="E5" s="26" t="s">
        <v>29</v>
      </c>
      <c r="F5" s="26" t="s">
        <v>19</v>
      </c>
      <c r="G5" s="26" t="s">
        <v>20</v>
      </c>
      <c r="H5" s="15" t="s">
        <v>30</v>
      </c>
      <c r="I5" s="26" t="str">
        <f>IF(G5="","",IFERROR(VLOOKUP(G5,Listas!$D$2:$E$23,2,FALSE),""))</f>
        <v>Pablo Velasco</v>
      </c>
      <c r="J5" s="26" t="s">
        <v>31</v>
      </c>
      <c r="K5" s="26"/>
      <c r="L5" s="26"/>
      <c r="M5" s="27">
        <f t="shared" si="0"/>
        <v>46078</v>
      </c>
      <c r="N5" s="26" t="str">
        <f t="shared" ca="1" si="1"/>
        <v>CERRADO</v>
      </c>
      <c r="O5" s="26"/>
      <c r="P5" s="84" t="str">
        <f>IFERROR(VLOOKUP(G5,Listas!$I$2:$J$23,2,FALSE),"")</f>
        <v>'Listas'!$M$2:$M$19</v>
      </c>
    </row>
    <row r="6" spans="1:16">
      <c r="A6" s="26">
        <v>4</v>
      </c>
      <c r="B6" s="27">
        <v>46078</v>
      </c>
      <c r="C6" s="20" t="s">
        <v>23</v>
      </c>
      <c r="D6" s="26" t="s">
        <v>32</v>
      </c>
      <c r="E6" s="26" t="s">
        <v>29</v>
      </c>
      <c r="F6" s="26" t="s">
        <v>19</v>
      </c>
      <c r="G6" s="26" t="s">
        <v>20</v>
      </c>
      <c r="H6" s="15" t="s">
        <v>33</v>
      </c>
      <c r="I6" s="26" t="str">
        <f>IF(G6="","",IFERROR(VLOOKUP(G6,Listas!$D$2:$E$23,2,FALSE),""))</f>
        <v>Pablo Velasco</v>
      </c>
      <c r="J6" s="26" t="s">
        <v>34</v>
      </c>
      <c r="K6" s="26"/>
      <c r="L6" s="26"/>
      <c r="M6" s="27">
        <f t="shared" si="0"/>
        <v>46078</v>
      </c>
      <c r="N6" s="26" t="str">
        <f t="shared" ca="1" si="1"/>
        <v>CERRADO</v>
      </c>
      <c r="O6" s="26"/>
      <c r="P6" s="84" t="str">
        <f>IFERROR(VLOOKUP(G6,Listas!$I$2:$J$23,2,FALSE),"")</f>
        <v>'Listas'!$M$2:$M$19</v>
      </c>
    </row>
    <row r="7" spans="1:16">
      <c r="A7" s="26">
        <v>5</v>
      </c>
      <c r="B7" s="27">
        <v>46078</v>
      </c>
      <c r="C7" s="20" t="s">
        <v>23</v>
      </c>
      <c r="D7" s="26" t="s">
        <v>35</v>
      </c>
      <c r="E7" s="26" t="s">
        <v>36</v>
      </c>
      <c r="F7" s="26" t="s">
        <v>19</v>
      </c>
      <c r="G7" s="26" t="s">
        <v>20</v>
      </c>
      <c r="H7" s="15" t="s">
        <v>21</v>
      </c>
      <c r="I7" s="26" t="str">
        <f>IF(G7="","",IFERROR(VLOOKUP(G7,Listas!$D$2:$E$23,2,FALSE),""))</f>
        <v>Pablo Velasco</v>
      </c>
      <c r="J7" s="26" t="s">
        <v>37</v>
      </c>
      <c r="K7" s="26"/>
      <c r="L7" s="26"/>
      <c r="M7" s="27">
        <f t="shared" si="0"/>
        <v>46078</v>
      </c>
      <c r="N7" s="26" t="str">
        <f t="shared" ca="1" si="1"/>
        <v>CERRADO</v>
      </c>
      <c r="O7" s="26"/>
      <c r="P7" s="84" t="str">
        <f>IFERROR(VLOOKUP(G7,Listas!$I$2:$J$23,2,FALSE),"")</f>
        <v>'Listas'!$M$2:$M$19</v>
      </c>
    </row>
    <row r="8" spans="1:16">
      <c r="A8" s="26">
        <v>6</v>
      </c>
      <c r="B8" s="27">
        <v>46083</v>
      </c>
      <c r="C8" s="20" t="s">
        <v>23</v>
      </c>
      <c r="D8" s="26" t="s">
        <v>38</v>
      </c>
      <c r="E8" s="26" t="s">
        <v>39</v>
      </c>
      <c r="F8" s="26" t="s">
        <v>19</v>
      </c>
      <c r="G8" s="26" t="s">
        <v>20</v>
      </c>
      <c r="H8" s="15" t="s">
        <v>21</v>
      </c>
      <c r="I8" s="26" t="str">
        <f>IF(G8="","",IFERROR(VLOOKUP(G8,Listas!$D$2:$E$23,2,FALSE),""))</f>
        <v>Pablo Velasco</v>
      </c>
      <c r="J8" s="26" t="s">
        <v>40</v>
      </c>
      <c r="K8" s="26"/>
      <c r="L8" s="26"/>
      <c r="M8" s="27">
        <f t="shared" si="0"/>
        <v>46083</v>
      </c>
      <c r="N8" s="26" t="str">
        <f t="shared" ca="1" si="1"/>
        <v>CERRADO</v>
      </c>
      <c r="O8" s="26"/>
      <c r="P8" s="84" t="str">
        <f>IFERROR(VLOOKUP(G8,Listas!$I$2:$J$23,2,FALSE),"")</f>
        <v>'Listas'!$M$2:$M$19</v>
      </c>
    </row>
    <row r="9" spans="1:16">
      <c r="A9" s="26">
        <v>7</v>
      </c>
      <c r="B9" s="27">
        <v>46083</v>
      </c>
      <c r="C9" s="20" t="s">
        <v>23</v>
      </c>
      <c r="D9" s="26" t="s">
        <v>41</v>
      </c>
      <c r="E9" s="26" t="s">
        <v>42</v>
      </c>
      <c r="F9" s="26" t="s">
        <v>19</v>
      </c>
      <c r="G9" s="26" t="s">
        <v>20</v>
      </c>
      <c r="H9" s="15" t="s">
        <v>21</v>
      </c>
      <c r="I9" s="26" t="str">
        <f>IF(G9="","",IFERROR(VLOOKUP(G9,Listas!$D$2:$E$23,2,FALSE),""))</f>
        <v>Pablo Velasco</v>
      </c>
      <c r="J9" s="26" t="s">
        <v>43</v>
      </c>
      <c r="K9" s="26"/>
      <c r="L9" s="26"/>
      <c r="M9" s="27">
        <f t="shared" si="0"/>
        <v>46083</v>
      </c>
      <c r="N9" s="26" t="str">
        <f t="shared" ca="1" si="1"/>
        <v>CERRADO</v>
      </c>
      <c r="O9" s="26"/>
      <c r="P9" s="84" t="str">
        <f>IFERROR(VLOOKUP(G9,Listas!$I$2:$J$23,2,FALSE),"")</f>
        <v>'Listas'!$M$2:$M$19</v>
      </c>
    </row>
    <row r="10" spans="1:16">
      <c r="A10" s="26">
        <v>8</v>
      </c>
      <c r="B10" s="27">
        <v>46083</v>
      </c>
      <c r="C10" s="20" t="s">
        <v>16</v>
      </c>
      <c r="D10" s="26" t="s">
        <v>44</v>
      </c>
      <c r="E10" s="26" t="s">
        <v>45</v>
      </c>
      <c r="F10" s="26" t="s">
        <v>19</v>
      </c>
      <c r="G10" s="26" t="s">
        <v>30</v>
      </c>
      <c r="H10" s="15" t="s">
        <v>30</v>
      </c>
      <c r="I10" s="26" t="str">
        <f>IF(G10="","",IFERROR(VLOOKUP(G10,Listas!$D$2:$E$23,2,FALSE),""))</f>
        <v>Brian Sarzosa</v>
      </c>
      <c r="J10" s="26" t="s">
        <v>46</v>
      </c>
      <c r="K10" s="26"/>
      <c r="L10" s="26"/>
      <c r="M10" s="27">
        <f t="shared" si="0"/>
        <v>46083</v>
      </c>
      <c r="N10" s="26" t="str">
        <f t="shared" ca="1" si="1"/>
        <v>CERRADO</v>
      </c>
      <c r="O10" s="26"/>
      <c r="P10" s="84" t="str">
        <f>IFERROR(VLOOKUP(G10,Listas!$I$2:$J$23,2,FALSE),"")</f>
        <v>'Listas'!$N$2:$N$17</v>
      </c>
    </row>
    <row r="11" spans="1:16">
      <c r="A11" s="26">
        <v>9</v>
      </c>
      <c r="B11" s="27">
        <v>46083</v>
      </c>
      <c r="C11" s="20" t="s">
        <v>23</v>
      </c>
      <c r="D11" s="26" t="s">
        <v>47</v>
      </c>
      <c r="E11" s="26" t="s">
        <v>48</v>
      </c>
      <c r="F11" s="26" t="s">
        <v>19</v>
      </c>
      <c r="G11" s="26" t="s">
        <v>30</v>
      </c>
      <c r="H11" s="26" t="s">
        <v>49</v>
      </c>
      <c r="I11" s="26" t="str">
        <f>IF(G11="","",IFERROR(VLOOKUP(G11,Listas!$D$2:$E$23,2,FALSE),""))</f>
        <v>Brian Sarzosa</v>
      </c>
      <c r="J11" s="26" t="s">
        <v>43</v>
      </c>
      <c r="K11" s="26"/>
      <c r="L11" s="26"/>
      <c r="M11" s="27">
        <f t="shared" si="0"/>
        <v>46083</v>
      </c>
      <c r="N11" s="26" t="str">
        <f t="shared" ca="1" si="1"/>
        <v>CERRADO</v>
      </c>
      <c r="O11" s="26"/>
      <c r="P11" s="84" t="str">
        <f>IFERROR(VLOOKUP(G11,Listas!$I$2:$J$23,2,FALSE),"")</f>
        <v>'Listas'!$N$2:$N$17</v>
      </c>
    </row>
    <row r="12" spans="1:16" ht="28.8">
      <c r="A12" s="26">
        <v>10</v>
      </c>
      <c r="B12" s="27">
        <v>46083</v>
      </c>
      <c r="C12" s="20" t="s">
        <v>23</v>
      </c>
      <c r="D12" s="26" t="s">
        <v>50</v>
      </c>
      <c r="E12" s="37" t="s">
        <v>51</v>
      </c>
      <c r="F12" s="26" t="s">
        <v>19</v>
      </c>
      <c r="G12" s="26" t="s">
        <v>52</v>
      </c>
      <c r="H12" s="15" t="s">
        <v>52</v>
      </c>
      <c r="I12" s="26" t="str">
        <f>IF(G12="","",IFERROR(VLOOKUP(G12,Listas!$D$2:$E$23,2,FALSE),""))</f>
        <v>André Cobo</v>
      </c>
      <c r="J12" s="26" t="s">
        <v>53</v>
      </c>
      <c r="K12" s="26"/>
      <c r="L12" s="26"/>
      <c r="M12" s="27">
        <f t="shared" si="0"/>
        <v>46083</v>
      </c>
      <c r="N12" s="26" t="str">
        <f t="shared" ca="1" si="1"/>
        <v>CERRADO</v>
      </c>
      <c r="O12" s="26"/>
      <c r="P12" s="84" t="str">
        <f>IFERROR(VLOOKUP(G12,Listas!$I$2:$J$23,2,FALSE),"")</f>
        <v>'Listas'!$K$7:$K$7</v>
      </c>
    </row>
    <row r="13" spans="1:16">
      <c r="A13" s="26">
        <v>11</v>
      </c>
      <c r="B13" s="27">
        <v>46083</v>
      </c>
      <c r="C13" s="20" t="s">
        <v>23</v>
      </c>
      <c r="D13" s="26" t="s">
        <v>28</v>
      </c>
      <c r="E13" s="26" t="s">
        <v>42</v>
      </c>
      <c r="F13" s="26"/>
      <c r="G13" s="26" t="s">
        <v>54</v>
      </c>
      <c r="H13" s="15" t="s">
        <v>52</v>
      </c>
      <c r="I13" s="26" t="str">
        <f>IF(G13="","",IFERROR(VLOOKUP(G13,Listas!$D$2:$E$23,2,FALSE),""))</f>
        <v>Daniel Espinoza</v>
      </c>
      <c r="J13" s="26" t="s">
        <v>55</v>
      </c>
      <c r="K13" s="26"/>
      <c r="L13" s="26"/>
      <c r="M13" s="27">
        <f t="shared" si="0"/>
        <v>46083</v>
      </c>
      <c r="N13" s="26" t="str">
        <f t="shared" ca="1" si="1"/>
        <v>CERRADO</v>
      </c>
      <c r="O13" s="26"/>
      <c r="P13" s="84" t="str">
        <f>IFERROR(VLOOKUP(G13,Listas!$I$2:$J$23,2,FALSE),"")</f>
        <v>'Listas'!$O$2:$O$15</v>
      </c>
    </row>
    <row r="14" spans="1:16">
      <c r="A14" s="26">
        <v>12</v>
      </c>
      <c r="B14" s="27">
        <v>46083</v>
      </c>
      <c r="C14" s="20" t="s">
        <v>16</v>
      </c>
      <c r="D14" s="26" t="s">
        <v>56</v>
      </c>
      <c r="E14" s="26" t="s">
        <v>45</v>
      </c>
      <c r="F14" s="26"/>
      <c r="G14" s="26" t="s">
        <v>57</v>
      </c>
      <c r="H14" s="15" t="s">
        <v>58</v>
      </c>
      <c r="I14" s="26" t="str">
        <f>IF(G14="","",IFERROR(VLOOKUP(G14,Listas!$D$2:$E$23,2,FALSE),""))</f>
        <v>Mario Guamán</v>
      </c>
      <c r="J14" s="26" t="s">
        <v>59</v>
      </c>
      <c r="K14" s="26"/>
      <c r="L14" s="26"/>
      <c r="M14" s="27">
        <f t="shared" si="0"/>
        <v>46083</v>
      </c>
      <c r="N14" s="26" t="str">
        <f t="shared" ca="1" si="1"/>
        <v>CERRADO</v>
      </c>
      <c r="O14" s="26"/>
      <c r="P14" s="84" t="str">
        <f>IFERROR(VLOOKUP(G14,Listas!$I$2:$J$23,2,FALSE),"")</f>
        <v>'Listas'!$P$2:$P$16</v>
      </c>
    </row>
    <row r="15" spans="1:16" ht="28.8">
      <c r="A15" s="26">
        <v>13</v>
      </c>
      <c r="B15" s="27">
        <v>46084</v>
      </c>
      <c r="C15" s="20" t="s">
        <v>16</v>
      </c>
      <c r="D15" s="26" t="s">
        <v>60</v>
      </c>
      <c r="E15" s="37" t="s">
        <v>61</v>
      </c>
      <c r="F15" s="26"/>
      <c r="G15" s="26" t="s">
        <v>52</v>
      </c>
      <c r="H15" s="15" t="s">
        <v>52</v>
      </c>
      <c r="I15" s="26" t="str">
        <f>IF(G15="","",IFERROR(VLOOKUP(G15,Listas!$D$2:$E$23,2,FALSE),""))</f>
        <v>André Cobo</v>
      </c>
      <c r="J15" s="26" t="s">
        <v>62</v>
      </c>
      <c r="K15" s="26"/>
      <c r="L15" s="26"/>
      <c r="M15" s="27">
        <f t="shared" si="0"/>
        <v>46084</v>
      </c>
      <c r="N15" s="26" t="str">
        <f t="shared" ca="1" si="1"/>
        <v>CERRADO</v>
      </c>
      <c r="O15" s="26"/>
      <c r="P15" s="84" t="str">
        <f>IFERROR(VLOOKUP(G15,Listas!$I$2:$J$23,2,FALSE),"")</f>
        <v>'Listas'!$K$7:$K$7</v>
      </c>
    </row>
    <row r="16" spans="1:16">
      <c r="A16" s="26">
        <v>14</v>
      </c>
      <c r="B16" s="27">
        <v>46085</v>
      </c>
      <c r="C16" s="20" t="s">
        <v>23</v>
      </c>
      <c r="D16" s="26" t="s">
        <v>63</v>
      </c>
      <c r="E16" s="26" t="s">
        <v>64</v>
      </c>
      <c r="F16" s="26"/>
      <c r="G16" s="26" t="s">
        <v>30</v>
      </c>
      <c r="H16" s="15" t="s">
        <v>65</v>
      </c>
      <c r="I16" s="26" t="str">
        <f>IF(G16="","",IFERROR(VLOOKUP(G16,Listas!$D$2:$E$23,2,FALSE),""))</f>
        <v>Brian Sarzosa</v>
      </c>
      <c r="J16" s="26" t="s">
        <v>66</v>
      </c>
      <c r="K16" s="26"/>
      <c r="L16" s="26"/>
      <c r="M16" s="27">
        <f t="shared" si="0"/>
        <v>46085</v>
      </c>
      <c r="N16" s="26" t="str">
        <f t="shared" ca="1" si="1"/>
        <v>CERRADO</v>
      </c>
      <c r="O16" s="26"/>
      <c r="P16" s="84" t="str">
        <f>IFERROR(VLOOKUP(G16,Listas!$I$2:$J$23,2,FALSE),"")</f>
        <v>'Listas'!$N$2:$N$17</v>
      </c>
    </row>
    <row r="17" spans="1:16">
      <c r="A17" s="26">
        <v>15</v>
      </c>
      <c r="B17" s="27">
        <v>46085</v>
      </c>
      <c r="C17" s="20" t="s">
        <v>23</v>
      </c>
      <c r="D17" s="26" t="s">
        <v>67</v>
      </c>
      <c r="E17" s="26" t="s">
        <v>68</v>
      </c>
      <c r="F17" s="26"/>
      <c r="G17" s="26" t="s">
        <v>69</v>
      </c>
      <c r="H17" s="15" t="s">
        <v>57</v>
      </c>
      <c r="I17" s="26" t="str">
        <f>IF(G17="","",IFERROR(VLOOKUP(G17,Listas!$D$2:$E$23,2,FALSE),""))</f>
        <v>Edison Lema</v>
      </c>
      <c r="J17" s="26" t="s">
        <v>70</v>
      </c>
      <c r="K17" s="26"/>
      <c r="L17" s="26"/>
      <c r="M17" s="27">
        <f t="shared" si="0"/>
        <v>46085</v>
      </c>
      <c r="N17" s="26" t="str">
        <f t="shared" ca="1" si="1"/>
        <v>CERRADO</v>
      </c>
      <c r="O17" s="26"/>
      <c r="P17" s="84" t="str">
        <f>IFERROR(VLOOKUP(G17,Listas!$I$2:$J$23,2,FALSE),"")</f>
        <v>'Listas'!$R$2:$R$16</v>
      </c>
    </row>
    <row r="18" spans="1:16">
      <c r="A18" s="26">
        <v>16</v>
      </c>
      <c r="B18" s="27">
        <v>46085</v>
      </c>
      <c r="C18" s="20" t="s">
        <v>23</v>
      </c>
      <c r="D18" s="26" t="s">
        <v>71</v>
      </c>
      <c r="E18" s="26" t="s">
        <v>64</v>
      </c>
      <c r="F18" s="26"/>
      <c r="G18" s="26" t="s">
        <v>72</v>
      </c>
      <c r="H18" s="15" t="s">
        <v>58</v>
      </c>
      <c r="I18" s="26" t="str">
        <f>IF(G18="","",IFERROR(VLOOKUP(G18,Listas!$D$2:$E$23,2,FALSE),""))</f>
        <v>Alejandro Pesantez</v>
      </c>
      <c r="J18" s="26" t="s">
        <v>73</v>
      </c>
      <c r="K18" s="26"/>
      <c r="L18" s="26"/>
      <c r="M18" s="27">
        <f t="shared" si="0"/>
        <v>46085</v>
      </c>
      <c r="N18" s="26" t="str">
        <f t="shared" ca="1" si="1"/>
        <v>CERRADO</v>
      </c>
      <c r="O18" s="26"/>
      <c r="P18" s="84" t="str">
        <f>IFERROR(VLOOKUP(G18,Listas!$I$2:$J$23,2,FALSE),"")</f>
        <v>'Listas'!$Q$2:$Q$10</v>
      </c>
    </row>
    <row r="19" spans="1:16">
      <c r="A19" s="26">
        <v>17</v>
      </c>
      <c r="B19" s="27">
        <v>46085</v>
      </c>
      <c r="C19" s="20" t="s">
        <v>23</v>
      </c>
      <c r="D19" s="26" t="s">
        <v>74</v>
      </c>
      <c r="E19" s="26" t="s">
        <v>64</v>
      </c>
      <c r="F19" s="26"/>
      <c r="G19" s="26" t="s">
        <v>20</v>
      </c>
      <c r="H19" s="15" t="s">
        <v>75</v>
      </c>
      <c r="I19" s="26" t="str">
        <f>IF(G19="","",IFERROR(VLOOKUP(G19,Listas!$D$2:$E$23,2,FALSE),""))</f>
        <v>Pablo Velasco</v>
      </c>
      <c r="J19" s="26" t="s">
        <v>66</v>
      </c>
      <c r="K19" s="26"/>
      <c r="L19" s="26"/>
      <c r="M19" s="27">
        <f t="shared" si="0"/>
        <v>46085</v>
      </c>
      <c r="N19" s="26" t="str">
        <f t="shared" ca="1" si="1"/>
        <v>CERRADO</v>
      </c>
      <c r="O19" s="26"/>
      <c r="P19" s="84" t="str">
        <f>IFERROR(VLOOKUP(G19,Listas!$I$2:$J$23,2,FALSE),"")</f>
        <v>'Listas'!$M$2:$M$19</v>
      </c>
    </row>
    <row r="20" spans="1:16">
      <c r="A20" s="26">
        <v>18</v>
      </c>
      <c r="B20" s="27">
        <v>46085</v>
      </c>
      <c r="C20" s="20" t="s">
        <v>23</v>
      </c>
      <c r="D20" s="26" t="s">
        <v>76</v>
      </c>
      <c r="E20" s="26" t="s">
        <v>77</v>
      </c>
      <c r="F20" s="26"/>
      <c r="G20" s="26" t="s">
        <v>54</v>
      </c>
      <c r="H20" s="15" t="s">
        <v>54</v>
      </c>
      <c r="I20" s="26" t="str">
        <f>IF(G20="","",IFERROR(VLOOKUP(G20,Listas!$D$2:$E$23,2,FALSE),""))</f>
        <v>Daniel Espinoza</v>
      </c>
      <c r="J20" s="26" t="s">
        <v>78</v>
      </c>
      <c r="K20" s="26"/>
      <c r="L20" s="26"/>
      <c r="M20" s="27">
        <f t="shared" si="0"/>
        <v>46085</v>
      </c>
      <c r="N20" s="26" t="str">
        <f t="shared" ca="1" si="1"/>
        <v>CERRADO</v>
      </c>
      <c r="O20" s="26"/>
      <c r="P20" s="84" t="str">
        <f>IFERROR(VLOOKUP(G20,Listas!$I$2:$J$23,2,FALSE),"")</f>
        <v>'Listas'!$O$2:$O$15</v>
      </c>
    </row>
    <row r="21" spans="1:16">
      <c r="A21" s="26">
        <v>19</v>
      </c>
      <c r="B21" s="27">
        <v>46085</v>
      </c>
      <c r="C21" s="20" t="s">
        <v>23</v>
      </c>
      <c r="D21" s="26" t="s">
        <v>79</v>
      </c>
      <c r="E21" s="26" t="s">
        <v>42</v>
      </c>
      <c r="F21" s="26"/>
      <c r="G21" s="26" t="s">
        <v>69</v>
      </c>
      <c r="H21" s="15" t="s">
        <v>54</v>
      </c>
      <c r="I21" s="26" t="str">
        <f>IF(G21="","",IFERROR(VLOOKUP(G21,Listas!$D$2:$E$23,2,FALSE),""))</f>
        <v>Edison Lema</v>
      </c>
      <c r="J21" s="26" t="s">
        <v>66</v>
      </c>
      <c r="K21" s="26"/>
      <c r="L21" s="26"/>
      <c r="M21" s="27">
        <f t="shared" si="0"/>
        <v>46085</v>
      </c>
      <c r="N21" s="26" t="str">
        <f t="shared" ca="1" si="1"/>
        <v>CERRADO</v>
      </c>
      <c r="O21" s="26"/>
      <c r="P21" s="84" t="str">
        <f>IFERROR(VLOOKUP(G21,Listas!$I$2:$J$23,2,FALSE),"")</f>
        <v>'Listas'!$R$2:$R$16</v>
      </c>
    </row>
    <row r="22" spans="1:16">
      <c r="A22" s="26">
        <v>20</v>
      </c>
      <c r="B22" s="27">
        <v>46085</v>
      </c>
      <c r="C22" s="20" t="s">
        <v>23</v>
      </c>
      <c r="D22" s="26" t="s">
        <v>80</v>
      </c>
      <c r="E22" s="26" t="s">
        <v>42</v>
      </c>
      <c r="F22" s="26"/>
      <c r="G22" s="26" t="s">
        <v>20</v>
      </c>
      <c r="H22" s="15" t="s">
        <v>20</v>
      </c>
      <c r="I22" s="26" t="str">
        <f>IF(G22="","",IFERROR(VLOOKUP(G22,Listas!$D$2:$E$23,2,FALSE),""))</f>
        <v>Pablo Velasco</v>
      </c>
      <c r="J22" s="26" t="s">
        <v>66</v>
      </c>
      <c r="K22" s="26"/>
      <c r="L22" s="26"/>
      <c r="M22" s="27">
        <f t="shared" si="0"/>
        <v>46085</v>
      </c>
      <c r="N22" s="26" t="str">
        <f t="shared" ca="1" si="1"/>
        <v>CERRADO</v>
      </c>
      <c r="O22" s="26"/>
      <c r="P22" s="84" t="str">
        <f>IFERROR(VLOOKUP(G22,Listas!$I$2:$J$23,2,FALSE),"")</f>
        <v>'Listas'!$M$2:$M$19</v>
      </c>
    </row>
    <row r="23" spans="1:16">
      <c r="A23" s="26">
        <v>21</v>
      </c>
      <c r="B23" s="27">
        <v>46085</v>
      </c>
      <c r="C23" s="20" t="s">
        <v>16</v>
      </c>
      <c r="D23" s="26" t="s">
        <v>81</v>
      </c>
      <c r="E23" s="26" t="s">
        <v>42</v>
      </c>
      <c r="F23" s="26"/>
      <c r="G23" s="26" t="s">
        <v>20</v>
      </c>
      <c r="H23" s="15" t="s">
        <v>75</v>
      </c>
      <c r="I23" s="26" t="str">
        <f>IF(G23="","",IFERROR(VLOOKUP(G23,Listas!$D$2:$E$23,2,FALSE),""))</f>
        <v>Pablo Velasco</v>
      </c>
      <c r="J23" s="26" t="s">
        <v>82</v>
      </c>
      <c r="K23" s="26"/>
      <c r="L23" s="26"/>
      <c r="M23" s="27">
        <f t="shared" si="0"/>
        <v>46085</v>
      </c>
      <c r="N23" s="26" t="str">
        <f t="shared" ca="1" si="1"/>
        <v>CERRADO</v>
      </c>
      <c r="O23" s="26"/>
      <c r="P23" s="84" t="str">
        <f>IFERROR(VLOOKUP(G23,Listas!$I$2:$J$23,2,FALSE),"")</f>
        <v>'Listas'!$M$2:$M$19</v>
      </c>
    </row>
    <row r="24" spans="1:16">
      <c r="A24" s="26">
        <v>22</v>
      </c>
      <c r="B24" s="27">
        <v>46086</v>
      </c>
      <c r="C24" s="20" t="s">
        <v>23</v>
      </c>
      <c r="D24" s="26" t="s">
        <v>83</v>
      </c>
      <c r="E24" s="26" t="s">
        <v>84</v>
      </c>
      <c r="F24" s="26"/>
      <c r="G24" s="26" t="s">
        <v>30</v>
      </c>
      <c r="H24" s="15" t="s">
        <v>30</v>
      </c>
      <c r="I24" s="26" t="str">
        <f>IF(G24="","",IFERROR(VLOOKUP(G24,Listas!$D$2:$E$23,2,FALSE),""))</f>
        <v>Brian Sarzosa</v>
      </c>
      <c r="J24" s="26" t="s">
        <v>85</v>
      </c>
      <c r="K24" s="26"/>
      <c r="L24" s="26"/>
      <c r="M24" s="27">
        <f t="shared" si="0"/>
        <v>46086</v>
      </c>
      <c r="N24" s="26" t="str">
        <f t="shared" ca="1" si="1"/>
        <v>CERRADO</v>
      </c>
      <c r="O24" s="26"/>
      <c r="P24" s="84" t="str">
        <f>IFERROR(VLOOKUP(G24,Listas!$I$2:$J$23,2,FALSE),"")</f>
        <v>'Listas'!$N$2:$N$17</v>
      </c>
    </row>
    <row r="25" spans="1:16">
      <c r="A25" s="26">
        <v>23</v>
      </c>
      <c r="B25" s="27">
        <v>46087</v>
      </c>
      <c r="C25" s="20" t="s">
        <v>23</v>
      </c>
      <c r="D25" s="26" t="s">
        <v>86</v>
      </c>
      <c r="E25" s="26" t="s">
        <v>87</v>
      </c>
      <c r="F25" s="26"/>
      <c r="G25" s="26" t="s">
        <v>30</v>
      </c>
      <c r="H25" s="15" t="s">
        <v>30</v>
      </c>
      <c r="I25" s="26" t="str">
        <f>IF(G25="","",IFERROR(VLOOKUP(G25,Listas!$D$2:$E$23,2,FALSE),""))</f>
        <v>Brian Sarzosa</v>
      </c>
      <c r="J25" s="26" t="s">
        <v>66</v>
      </c>
      <c r="K25" s="26"/>
      <c r="L25" s="26"/>
      <c r="M25" s="27">
        <f t="shared" si="0"/>
        <v>46087</v>
      </c>
      <c r="N25" s="26" t="str">
        <f t="shared" ca="1" si="1"/>
        <v>CERRADO</v>
      </c>
      <c r="O25" s="26"/>
      <c r="P25" s="84" t="str">
        <f>IFERROR(VLOOKUP(G25,Listas!$I$2:$J$23,2,FALSE),"")</f>
        <v>'Listas'!$N$2:$N$17</v>
      </c>
    </row>
    <row r="26" spans="1:16">
      <c r="A26" s="26">
        <v>24</v>
      </c>
      <c r="B26" s="27">
        <v>46087</v>
      </c>
      <c r="C26" s="20" t="s">
        <v>23</v>
      </c>
      <c r="D26" s="26" t="s">
        <v>88</v>
      </c>
      <c r="E26" s="26" t="s">
        <v>89</v>
      </c>
      <c r="F26" s="26"/>
      <c r="G26" s="26" t="s">
        <v>54</v>
      </c>
      <c r="H26" s="15" t="s">
        <v>52</v>
      </c>
      <c r="I26" s="26" t="str">
        <f>IF(G26="","",IFERROR(VLOOKUP(G26,Listas!$D$2:$E$23,2,FALSE),""))</f>
        <v>Daniel Espinoza</v>
      </c>
      <c r="J26" s="26" t="s">
        <v>90</v>
      </c>
      <c r="K26" s="26"/>
      <c r="L26" s="26"/>
      <c r="M26" s="27">
        <f t="shared" si="0"/>
        <v>46087</v>
      </c>
      <c r="N26" s="26" t="str">
        <f t="shared" ca="1" si="1"/>
        <v>CERRADO</v>
      </c>
      <c r="O26" s="26"/>
      <c r="P26" s="84" t="str">
        <f>IFERROR(VLOOKUP(G26,Listas!$I$2:$J$23,2,FALSE),"")</f>
        <v>'Listas'!$O$2:$O$15</v>
      </c>
    </row>
    <row r="27" spans="1:16">
      <c r="A27" s="26">
        <v>25</v>
      </c>
      <c r="B27" s="27">
        <v>46091</v>
      </c>
      <c r="C27" s="20" t="s">
        <v>23</v>
      </c>
      <c r="D27" s="26" t="s">
        <v>91</v>
      </c>
      <c r="E27" s="26" t="s">
        <v>89</v>
      </c>
      <c r="F27" s="26"/>
      <c r="G27" s="26" t="s">
        <v>30</v>
      </c>
      <c r="H27" s="15" t="s">
        <v>30</v>
      </c>
      <c r="I27" s="26" t="str">
        <f>IF(G27="","",IFERROR(VLOOKUP(G27,Listas!$D$2:$E$23,2,FALSE),""))</f>
        <v>Brian Sarzosa</v>
      </c>
      <c r="J27" s="26" t="s">
        <v>92</v>
      </c>
      <c r="K27" s="26"/>
      <c r="L27" s="26"/>
      <c r="M27" s="27">
        <f t="shared" si="0"/>
        <v>46091</v>
      </c>
      <c r="N27" s="26" t="str">
        <f t="shared" ca="1" si="1"/>
        <v>CERRADO</v>
      </c>
      <c r="O27" s="26"/>
      <c r="P27" s="84" t="str">
        <f>IFERROR(VLOOKUP(G27,Listas!$I$2:$J$23,2,FALSE),"")</f>
        <v>'Listas'!$N$2:$N$17</v>
      </c>
    </row>
    <row r="28" spans="1:16" ht="28.8">
      <c r="A28" s="26">
        <v>26</v>
      </c>
      <c r="B28" s="27">
        <v>46091</v>
      </c>
      <c r="C28" s="20" t="s">
        <v>23</v>
      </c>
      <c r="D28" s="26" t="s">
        <v>93</v>
      </c>
      <c r="E28" s="37" t="s">
        <v>94</v>
      </c>
      <c r="F28" s="26"/>
      <c r="G28" s="26" t="s">
        <v>54</v>
      </c>
      <c r="H28" s="15" t="s">
        <v>52</v>
      </c>
      <c r="I28" s="37" t="str">
        <f>IF(G28="","",IFERROR(VLOOKUP(G28,Listas!$D$2:$E$23,2,FALSE),""))</f>
        <v>Daniel Espinoza</v>
      </c>
      <c r="J28" s="26" t="s">
        <v>95</v>
      </c>
      <c r="K28" s="26"/>
      <c r="L28" s="26"/>
      <c r="M28" s="27">
        <f t="shared" si="0"/>
        <v>46091</v>
      </c>
      <c r="N28" s="26" t="str">
        <f t="shared" ca="1" si="1"/>
        <v>CERRADO</v>
      </c>
      <c r="O28" s="26"/>
      <c r="P28" s="84" t="str">
        <f>IFERROR(VLOOKUP(G28,Listas!$I$2:$J$23,2,FALSE),"")</f>
        <v>'Listas'!$O$2:$O$15</v>
      </c>
    </row>
    <row r="29" spans="1:16">
      <c r="A29" s="26">
        <v>27</v>
      </c>
      <c r="B29" s="27">
        <v>46091</v>
      </c>
      <c r="C29" s="20" t="s">
        <v>23</v>
      </c>
      <c r="D29" s="26" t="s">
        <v>96</v>
      </c>
      <c r="E29" s="26" t="s">
        <v>97</v>
      </c>
      <c r="F29" s="26"/>
      <c r="G29" s="26" t="s">
        <v>54</v>
      </c>
      <c r="H29" s="15" t="s">
        <v>54</v>
      </c>
      <c r="I29" s="26" t="str">
        <f>IF(G29="","",IFERROR(VLOOKUP(G29,Listas!$D$2:$E$23,2,FALSE),""))</f>
        <v>Daniel Espinoza</v>
      </c>
      <c r="J29" s="26" t="s">
        <v>98</v>
      </c>
      <c r="K29" s="26"/>
      <c r="L29" s="26"/>
      <c r="M29" s="27">
        <f t="shared" si="0"/>
        <v>46091</v>
      </c>
      <c r="N29" s="26" t="str">
        <f t="shared" ca="1" si="1"/>
        <v>CERRADO</v>
      </c>
      <c r="O29" s="26"/>
      <c r="P29" s="84" t="str">
        <f>IFERROR(VLOOKUP(G29,Listas!$I$2:$J$23,2,FALSE),"")</f>
        <v>'Listas'!$O$2:$O$15</v>
      </c>
    </row>
    <row r="30" spans="1:16">
      <c r="A30" s="26">
        <v>28</v>
      </c>
      <c r="B30" s="27">
        <v>46091</v>
      </c>
      <c r="C30" s="20" t="s">
        <v>23</v>
      </c>
      <c r="D30" s="26" t="s">
        <v>99</v>
      </c>
      <c r="E30" s="26" t="s">
        <v>64</v>
      </c>
      <c r="F30" s="26"/>
      <c r="G30" s="26" t="s">
        <v>30</v>
      </c>
      <c r="H30" s="15" t="s">
        <v>30</v>
      </c>
      <c r="I30" s="26" t="str">
        <f>IF(G30="","",IFERROR(VLOOKUP(G30,Listas!$D$2:$E$23,2,FALSE),""))</f>
        <v>Brian Sarzosa</v>
      </c>
      <c r="J30" s="26" t="s">
        <v>100</v>
      </c>
      <c r="K30" s="26"/>
      <c r="L30" s="26"/>
      <c r="M30" s="27">
        <f t="shared" si="0"/>
        <v>46091</v>
      </c>
      <c r="N30" s="26" t="str">
        <f t="shared" ca="1" si="1"/>
        <v>CERRADO</v>
      </c>
      <c r="O30" s="26"/>
      <c r="P30" s="84" t="str">
        <f>IFERROR(VLOOKUP(G30,Listas!$I$2:$J$23,2,FALSE),"")</f>
        <v>'Listas'!$N$2:$N$17</v>
      </c>
    </row>
    <row r="31" spans="1:16" ht="43.2">
      <c r="A31" s="26">
        <v>29</v>
      </c>
      <c r="B31" s="27">
        <v>46091</v>
      </c>
      <c r="C31" s="20" t="s">
        <v>23</v>
      </c>
      <c r="D31" s="26" t="s">
        <v>101</v>
      </c>
      <c r="E31" s="37" t="s">
        <v>102</v>
      </c>
      <c r="F31" s="26"/>
      <c r="G31" s="26" t="s">
        <v>30</v>
      </c>
      <c r="H31" s="15" t="s">
        <v>30</v>
      </c>
      <c r="I31" s="26" t="str">
        <f>IF(G31="","",IFERROR(VLOOKUP(G31,Listas!$D$2:$E$23,2,FALSE),""))</f>
        <v>Brian Sarzosa</v>
      </c>
      <c r="J31" s="26" t="s">
        <v>85</v>
      </c>
      <c r="K31" s="26"/>
      <c r="L31" s="26"/>
      <c r="M31" s="27">
        <f t="shared" ref="M31:M35" si="2">B31</f>
        <v>46091</v>
      </c>
      <c r="N31" s="26" t="str">
        <f t="shared" ref="N31:N35" ca="1" si="3">IF(M31&lt;TODAY(),"CERRADO","ABIERTO")</f>
        <v>CERRADO</v>
      </c>
      <c r="O31" s="26"/>
      <c r="P31" s="84" t="str">
        <f>IFERROR(VLOOKUP(G31,Listas!$I$2:$J$23,2,FALSE),"")</f>
        <v>'Listas'!$N$2:$N$17</v>
      </c>
    </row>
    <row r="32" spans="1:16">
      <c r="A32" s="26">
        <v>30</v>
      </c>
      <c r="B32" s="27">
        <v>46091</v>
      </c>
      <c r="C32" s="20" t="s">
        <v>23</v>
      </c>
      <c r="D32" s="26" t="s">
        <v>28</v>
      </c>
      <c r="E32" s="26" t="s">
        <v>42</v>
      </c>
      <c r="F32" s="26"/>
      <c r="G32" s="26" t="s">
        <v>30</v>
      </c>
      <c r="H32" s="15" t="s">
        <v>30</v>
      </c>
      <c r="I32" s="26" t="str">
        <f>IF(G32="","",IFERROR(VLOOKUP(G32,Listas!$D$2:$E$23,2,FALSE),""))</f>
        <v>Brian Sarzosa</v>
      </c>
      <c r="J32" s="26" t="s">
        <v>103</v>
      </c>
      <c r="K32" s="26"/>
      <c r="L32" s="26"/>
      <c r="M32" s="27">
        <f t="shared" si="2"/>
        <v>46091</v>
      </c>
      <c r="N32" s="26" t="str">
        <f t="shared" ca="1" si="3"/>
        <v>CERRADO</v>
      </c>
      <c r="O32" s="26"/>
      <c r="P32" s="84" t="str">
        <f>IFERROR(VLOOKUP(G32,Listas!$I$2:$J$23,2,FALSE),"")</f>
        <v>'Listas'!$N$2:$N$17</v>
      </c>
    </row>
    <row r="33" spans="1:16" ht="28.8">
      <c r="A33" s="26">
        <v>31</v>
      </c>
      <c r="B33" s="27">
        <v>46092</v>
      </c>
      <c r="C33" s="20" t="s">
        <v>23</v>
      </c>
      <c r="D33" s="26" t="s">
        <v>104</v>
      </c>
      <c r="E33" s="37" t="s">
        <v>105</v>
      </c>
      <c r="F33" s="26"/>
      <c r="G33" s="26" t="s">
        <v>30</v>
      </c>
      <c r="H33" s="15" t="s">
        <v>30</v>
      </c>
      <c r="I33" s="26" t="str">
        <f>IF(G33="","",IFERROR(VLOOKUP(G33,Listas!$D$2:$E$23,2,FALSE),""))</f>
        <v>Brian Sarzosa</v>
      </c>
      <c r="J33" s="26" t="s">
        <v>106</v>
      </c>
      <c r="K33" s="26"/>
      <c r="L33" s="26"/>
      <c r="M33" s="27">
        <f t="shared" si="2"/>
        <v>46092</v>
      </c>
      <c r="N33" s="26" t="str">
        <f t="shared" ca="1" si="3"/>
        <v>CERRADO</v>
      </c>
      <c r="O33" s="26"/>
      <c r="P33" s="84" t="str">
        <f>IFERROR(VLOOKUP(G33,Listas!$I$2:$J$23,2,FALSE),"")</f>
        <v>'Listas'!$N$2:$N$17</v>
      </c>
    </row>
    <row r="34" spans="1:16">
      <c r="A34" s="26">
        <v>32</v>
      </c>
      <c r="B34" s="27">
        <v>46092</v>
      </c>
      <c r="C34" s="20" t="s">
        <v>23</v>
      </c>
      <c r="D34" s="26" t="s">
        <v>107</v>
      </c>
      <c r="E34" s="26" t="s">
        <v>97</v>
      </c>
      <c r="F34" s="26"/>
      <c r="G34" s="26" t="s">
        <v>54</v>
      </c>
      <c r="H34" s="15" t="s">
        <v>54</v>
      </c>
      <c r="I34" s="26" t="str">
        <f>IF(G34="","",IFERROR(VLOOKUP(G34,Listas!$D$2:$E$23,2,FALSE),""))</f>
        <v>Daniel Espinoza</v>
      </c>
      <c r="J34" s="26" t="s">
        <v>108</v>
      </c>
      <c r="K34" s="26"/>
      <c r="L34" s="26"/>
      <c r="M34" s="27">
        <f t="shared" si="2"/>
        <v>46092</v>
      </c>
      <c r="N34" s="26" t="str">
        <f t="shared" ca="1" si="3"/>
        <v>CERRADO</v>
      </c>
      <c r="O34" s="26"/>
      <c r="P34" s="84" t="str">
        <f>IFERROR(VLOOKUP(G34,Listas!$I$2:$J$23,2,FALSE),"")</f>
        <v>'Listas'!$O$2:$O$15</v>
      </c>
    </row>
    <row r="35" spans="1:16" ht="28.8">
      <c r="A35" s="26">
        <v>33</v>
      </c>
      <c r="B35" s="27">
        <v>46093</v>
      </c>
      <c r="C35" s="20" t="s">
        <v>23</v>
      </c>
      <c r="D35" s="26" t="s">
        <v>109</v>
      </c>
      <c r="E35" s="37" t="s">
        <v>110</v>
      </c>
      <c r="F35" s="26"/>
      <c r="G35" s="26" t="s">
        <v>30</v>
      </c>
      <c r="H35" s="15" t="s">
        <v>30</v>
      </c>
      <c r="I35" s="26" t="str">
        <f>IF(G35="","",IFERROR(VLOOKUP(G35,Listas!$D$2:$E$23,2,FALSE),""))</f>
        <v>Brian Sarzosa</v>
      </c>
      <c r="J35" s="26" t="s">
        <v>111</v>
      </c>
      <c r="K35" s="26"/>
      <c r="L35" s="26"/>
      <c r="M35" s="27">
        <f t="shared" si="2"/>
        <v>46093</v>
      </c>
      <c r="N35" s="26" t="str">
        <f t="shared" ca="1" si="3"/>
        <v>CERRADO</v>
      </c>
      <c r="O35" s="26"/>
      <c r="P35" s="84" t="str">
        <f>IFERROR(VLOOKUP(G35,Listas!$I$2:$J$23,2,FALSE),"")</f>
        <v>'Listas'!$N$2:$N$17</v>
      </c>
    </row>
    <row r="36" spans="1:16" ht="57.6">
      <c r="A36" s="26">
        <v>34</v>
      </c>
      <c r="B36" s="8">
        <v>46093</v>
      </c>
      <c r="C36" s="20" t="s">
        <v>23</v>
      </c>
      <c r="D36" s="7" t="s">
        <v>112</v>
      </c>
      <c r="E36" s="7" t="s">
        <v>42</v>
      </c>
      <c r="F36" s="11"/>
      <c r="G36" s="26" t="s">
        <v>57</v>
      </c>
      <c r="H36" s="15" t="s">
        <v>57</v>
      </c>
      <c r="I36" s="7" t="str">
        <f>IF(G36="","",IFERROR(VLOOKUP(G36,Listas!$D$2:$E$23,2,FALSE),""))</f>
        <v>Mario Guamán</v>
      </c>
      <c r="J36" s="7" t="s">
        <v>113</v>
      </c>
      <c r="K36" s="26"/>
      <c r="L36" s="9">
        <v>46248</v>
      </c>
      <c r="M36" s="9"/>
      <c r="N36" s="10" t="str">
        <f ca="1">IF(M36&lt;&gt;"","CERRADO",IF(L36&gt;TODAY(),"EN PROCESO",IF(M36="","ABIERTO")))</f>
        <v>EN PROCESO</v>
      </c>
      <c r="O36" s="7"/>
      <c r="P36" s="84" t="str">
        <f>IFERROR(VLOOKUP(G36,Listas!$I$2:$J$23,2,FALSE),"")</f>
        <v>'Listas'!$P$2:$P$16</v>
      </c>
    </row>
    <row r="37" spans="1:16" ht="43.2">
      <c r="A37" s="26">
        <v>35</v>
      </c>
      <c r="B37" s="27">
        <v>46093</v>
      </c>
      <c r="C37" s="20" t="s">
        <v>23</v>
      </c>
      <c r="D37" s="26" t="s">
        <v>114</v>
      </c>
      <c r="E37" s="37" t="s">
        <v>115</v>
      </c>
      <c r="F37" s="26"/>
      <c r="G37" s="26" t="s">
        <v>20</v>
      </c>
      <c r="H37" s="15" t="s">
        <v>26</v>
      </c>
      <c r="I37" s="26" t="str">
        <f>IF(G37="","",IFERROR(VLOOKUP(G37,Listas!$D$2:$E$23,2,FALSE),""))</f>
        <v>Pablo Velasco</v>
      </c>
      <c r="J37" s="37" t="s">
        <v>116</v>
      </c>
      <c r="K37" s="26"/>
      <c r="L37" s="26"/>
      <c r="M37" s="27">
        <f t="shared" ref="M37:M38" si="4">B37+5</f>
        <v>46098</v>
      </c>
      <c r="N37" s="26" t="str">
        <f t="shared" ref="N37:N38" ca="1" si="5">IF(M37&lt;TODAY(),"CERRADO","ABIERTO")</f>
        <v>CERRADO</v>
      </c>
      <c r="O37" s="26"/>
      <c r="P37" s="84" t="str">
        <f>IFERROR(VLOOKUP(G37,Listas!$I$2:$J$23,2,FALSE),"")</f>
        <v>'Listas'!$M$2:$M$19</v>
      </c>
    </row>
    <row r="38" spans="1:16">
      <c r="A38" s="26">
        <v>36</v>
      </c>
      <c r="B38" s="27">
        <v>46097</v>
      </c>
      <c r="C38" s="20" t="s">
        <v>23</v>
      </c>
      <c r="D38" s="26" t="s">
        <v>117</v>
      </c>
      <c r="E38" s="26" t="s">
        <v>118</v>
      </c>
      <c r="F38" s="26"/>
      <c r="G38" s="26" t="s">
        <v>119</v>
      </c>
      <c r="H38" s="15" t="s">
        <v>72</v>
      </c>
      <c r="I38" s="26" t="str">
        <f>IF(G38="","",IFERROR(VLOOKUP(G38,Listas!$D$2:$E$23,2,FALSE),""))</f>
        <v>Estefanía Guilcapi</v>
      </c>
      <c r="J38" s="26" t="s">
        <v>120</v>
      </c>
      <c r="K38" s="26"/>
      <c r="L38" s="26"/>
      <c r="M38" s="27">
        <f t="shared" si="4"/>
        <v>46102</v>
      </c>
      <c r="N38" s="26" t="str">
        <f t="shared" ca="1" si="5"/>
        <v>CERRADO</v>
      </c>
      <c r="O38" s="26"/>
      <c r="P38" s="84" t="str">
        <f>IFERROR(VLOOKUP(G38,Listas!$I$2:$J$23,2,FALSE),"")</f>
        <v>'Listas'!$K$15:$K$15</v>
      </c>
    </row>
    <row r="39" spans="1:16">
      <c r="A39" s="26">
        <v>37</v>
      </c>
      <c r="B39" s="8">
        <v>46094</v>
      </c>
      <c r="C39" s="20" t="s">
        <v>23</v>
      </c>
      <c r="D39" s="7" t="s">
        <v>121</v>
      </c>
      <c r="E39" s="7" t="s">
        <v>122</v>
      </c>
      <c r="F39" s="7"/>
      <c r="G39" s="26" t="s">
        <v>54</v>
      </c>
      <c r="H39" s="15" t="s">
        <v>54</v>
      </c>
      <c r="I39" s="7" t="str">
        <f>IF(G39="","",IFERROR(VLOOKUP(G39,Listas!$D$2:$E$23,2,FALSE),""))</f>
        <v>Daniel Espinoza</v>
      </c>
      <c r="J39" s="7" t="s">
        <v>123</v>
      </c>
      <c r="K39" s="26"/>
      <c r="L39" s="8"/>
      <c r="M39" s="8"/>
      <c r="N39" s="10" t="str">
        <f ca="1">IF(M39&lt;&gt;"","CERRADO",IF(L39&gt;TODAY(),"EN PROCESO",IF(M39="","ABIERTO")))</f>
        <v>ABIERTO</v>
      </c>
      <c r="O39" s="7"/>
      <c r="P39" s="84" t="str">
        <f>IFERROR(VLOOKUP(G39,Listas!$I$2:$J$23,2,FALSE),"")</f>
        <v>'Listas'!$O$2:$O$15</v>
      </c>
    </row>
    <row r="40" spans="1:16">
      <c r="A40" s="26">
        <v>38</v>
      </c>
      <c r="B40" s="27">
        <v>46097</v>
      </c>
      <c r="C40" s="20" t="s">
        <v>23</v>
      </c>
      <c r="D40" s="26" t="s">
        <v>124</v>
      </c>
      <c r="E40" s="26" t="s">
        <v>64</v>
      </c>
      <c r="F40" s="26"/>
      <c r="G40" s="26" t="s">
        <v>30</v>
      </c>
      <c r="H40" s="15" t="s">
        <v>30</v>
      </c>
      <c r="I40" s="26" t="str">
        <f>IF(G40="","",IFERROR(VLOOKUP(G40,Listas!$D$2:$E$23,2,FALSE),""))</f>
        <v>Brian Sarzosa</v>
      </c>
      <c r="J40" s="26" t="s">
        <v>125</v>
      </c>
      <c r="K40" s="26"/>
      <c r="L40" s="26"/>
      <c r="M40" s="27">
        <f t="shared" ref="M40:M54" si="6">B40+5</f>
        <v>46102</v>
      </c>
      <c r="N40" s="26" t="str">
        <f t="shared" ref="N40:N54" ca="1" si="7">IF(M40&lt;TODAY(),"CERRADO","ABIERTO")</f>
        <v>CERRADO</v>
      </c>
      <c r="O40" s="26"/>
      <c r="P40" s="84" t="str">
        <f>IFERROR(VLOOKUP(G40,Listas!$I$2:$J$23,2,FALSE),"")</f>
        <v>'Listas'!$N$2:$N$17</v>
      </c>
    </row>
    <row r="41" spans="1:16">
      <c r="A41" s="26">
        <v>39</v>
      </c>
      <c r="B41" s="27">
        <v>46097</v>
      </c>
      <c r="C41" s="20" t="s">
        <v>23</v>
      </c>
      <c r="D41" s="26" t="s">
        <v>126</v>
      </c>
      <c r="E41" s="26" t="s">
        <v>127</v>
      </c>
      <c r="F41" s="26"/>
      <c r="G41" s="26" t="s">
        <v>54</v>
      </c>
      <c r="H41" s="26" t="s">
        <v>128</v>
      </c>
      <c r="I41" s="26" t="str">
        <f>IF(G41="","",IFERROR(VLOOKUP(G41,Listas!$D$2:$E$23,2,FALSE),""))</f>
        <v>Daniel Espinoza</v>
      </c>
      <c r="J41" s="26" t="s">
        <v>129</v>
      </c>
      <c r="K41" s="26"/>
      <c r="L41" s="26"/>
      <c r="M41" s="27">
        <f t="shared" si="6"/>
        <v>46102</v>
      </c>
      <c r="N41" s="26" t="str">
        <f t="shared" ca="1" si="7"/>
        <v>CERRADO</v>
      </c>
      <c r="O41" s="26"/>
      <c r="P41" s="84" t="str">
        <f>IFERROR(VLOOKUP(G41,Listas!$I$2:$J$23,2,FALSE),"")</f>
        <v>'Listas'!$O$2:$O$15</v>
      </c>
    </row>
    <row r="42" spans="1:16" ht="28.8">
      <c r="A42" s="26">
        <v>40</v>
      </c>
      <c r="B42" s="27">
        <v>46098</v>
      </c>
      <c r="C42" s="20" t="s">
        <v>23</v>
      </c>
      <c r="D42" s="26" t="s">
        <v>130</v>
      </c>
      <c r="E42" s="37" t="s">
        <v>131</v>
      </c>
      <c r="F42" s="26"/>
      <c r="G42" s="26" t="s">
        <v>54</v>
      </c>
      <c r="H42" s="15" t="s">
        <v>54</v>
      </c>
      <c r="I42" s="26" t="str">
        <f>IF(G42="","",IFERROR(VLOOKUP(G42,Listas!$D$2:$E$23,2,FALSE),""))</f>
        <v>Daniel Espinoza</v>
      </c>
      <c r="J42" s="26" t="s">
        <v>132</v>
      </c>
      <c r="K42" s="26"/>
      <c r="L42" s="26"/>
      <c r="M42" s="27">
        <f t="shared" si="6"/>
        <v>46103</v>
      </c>
      <c r="N42" s="26" t="str">
        <f t="shared" ca="1" si="7"/>
        <v>CERRADO</v>
      </c>
      <c r="O42" s="26"/>
      <c r="P42" s="84" t="str">
        <f>IFERROR(VLOOKUP(G42,Listas!$I$2:$J$23,2,FALSE),"")</f>
        <v>'Listas'!$O$2:$O$15</v>
      </c>
    </row>
    <row r="43" spans="1:16">
      <c r="A43" s="26">
        <v>41</v>
      </c>
      <c r="B43" s="27">
        <v>46100</v>
      </c>
      <c r="C43" s="20" t="s">
        <v>23</v>
      </c>
      <c r="D43" s="26" t="s">
        <v>133</v>
      </c>
      <c r="E43" s="26" t="s">
        <v>134</v>
      </c>
      <c r="F43" s="26"/>
      <c r="G43" s="26" t="s">
        <v>20</v>
      </c>
      <c r="H43" s="15" t="s">
        <v>75</v>
      </c>
      <c r="I43" s="26" t="str">
        <f>IF(G43="","",IFERROR(VLOOKUP(G43,Listas!$D$2:$E$23,2,FALSE),""))</f>
        <v>Pablo Velasco</v>
      </c>
      <c r="J43" s="26" t="s">
        <v>135</v>
      </c>
      <c r="K43" s="26"/>
      <c r="L43" s="26"/>
      <c r="M43" s="27">
        <f t="shared" si="6"/>
        <v>46105</v>
      </c>
      <c r="N43" s="26" t="str">
        <f t="shared" ca="1" si="7"/>
        <v>CERRADO</v>
      </c>
      <c r="O43" s="26"/>
      <c r="P43" s="84" t="str">
        <f>IFERROR(VLOOKUP(G43,Listas!$I$2:$J$23,2,FALSE),"")</f>
        <v>'Listas'!$M$2:$M$19</v>
      </c>
    </row>
    <row r="44" spans="1:16">
      <c r="A44" s="26">
        <v>42</v>
      </c>
      <c r="B44" s="27">
        <v>46100</v>
      </c>
      <c r="C44" s="20" t="s">
        <v>23</v>
      </c>
      <c r="D44" s="26" t="s">
        <v>136</v>
      </c>
      <c r="E44" s="26" t="s">
        <v>42</v>
      </c>
      <c r="F44" s="26"/>
      <c r="G44" s="26" t="s">
        <v>57</v>
      </c>
      <c r="H44" s="15" t="s">
        <v>57</v>
      </c>
      <c r="I44" s="26" t="str">
        <f>IF(G44="","",IFERROR(VLOOKUP(G44,Listas!$D$2:$E$23,2,FALSE),""))</f>
        <v>Mario Guamán</v>
      </c>
      <c r="J44" s="26" t="s">
        <v>137</v>
      </c>
      <c r="K44" s="26"/>
      <c r="L44" s="26"/>
      <c r="M44" s="27">
        <f t="shared" si="6"/>
        <v>46105</v>
      </c>
      <c r="N44" s="26" t="str">
        <f t="shared" ca="1" si="7"/>
        <v>CERRADO</v>
      </c>
      <c r="O44" s="26"/>
      <c r="P44" s="84" t="str">
        <f>IFERROR(VLOOKUP(G44,Listas!$I$2:$J$23,2,FALSE),"")</f>
        <v>'Listas'!$P$2:$P$16</v>
      </c>
    </row>
    <row r="45" spans="1:16" ht="28.8">
      <c r="A45" s="26">
        <v>43</v>
      </c>
      <c r="B45" s="27">
        <v>46100</v>
      </c>
      <c r="C45" s="20" t="s">
        <v>23</v>
      </c>
      <c r="D45" s="26" t="s">
        <v>138</v>
      </c>
      <c r="E45" s="37" t="s">
        <v>139</v>
      </c>
      <c r="F45" s="26"/>
      <c r="G45" s="26" t="s">
        <v>57</v>
      </c>
      <c r="H45" s="15" t="s">
        <v>57</v>
      </c>
      <c r="I45" s="26" t="str">
        <f>IF(G45="","",IFERROR(VLOOKUP(G45,Listas!$D$2:$E$23,2,FALSE),""))</f>
        <v>Mario Guamán</v>
      </c>
      <c r="J45" s="26" t="s">
        <v>140</v>
      </c>
      <c r="K45" s="26"/>
      <c r="L45" s="26"/>
      <c r="M45" s="27">
        <f t="shared" si="6"/>
        <v>46105</v>
      </c>
      <c r="N45" s="26" t="str">
        <f t="shared" ca="1" si="7"/>
        <v>CERRADO</v>
      </c>
      <c r="O45" s="26"/>
      <c r="P45" s="84" t="str">
        <f>IFERROR(VLOOKUP(G45,Listas!$I$2:$J$23,2,FALSE),"")</f>
        <v>'Listas'!$P$2:$P$16</v>
      </c>
    </row>
    <row r="46" spans="1:16">
      <c r="A46" s="26">
        <v>44</v>
      </c>
      <c r="B46" s="27">
        <v>46100</v>
      </c>
      <c r="C46" s="20" t="s">
        <v>16</v>
      </c>
      <c r="D46" s="26" t="s">
        <v>141</v>
      </c>
      <c r="E46" s="26" t="s">
        <v>142</v>
      </c>
      <c r="F46" s="26"/>
      <c r="G46" s="26" t="s">
        <v>72</v>
      </c>
      <c r="H46" s="15" t="s">
        <v>72</v>
      </c>
      <c r="I46" s="26" t="str">
        <f>IF(G46="","",IFERROR(VLOOKUP(G46,Listas!$D$2:$E$23,2,FALSE),""))</f>
        <v>Alejandro Pesantez</v>
      </c>
      <c r="J46" s="26" t="s">
        <v>143</v>
      </c>
      <c r="K46" s="26"/>
      <c r="L46" s="26"/>
      <c r="M46" s="27">
        <f t="shared" si="6"/>
        <v>46105</v>
      </c>
      <c r="N46" s="26" t="str">
        <f t="shared" ca="1" si="7"/>
        <v>CERRADO</v>
      </c>
      <c r="O46" s="26"/>
      <c r="P46" s="84" t="str">
        <f>IFERROR(VLOOKUP(G46,Listas!$I$2:$J$23,2,FALSE),"")</f>
        <v>'Listas'!$Q$2:$Q$10</v>
      </c>
    </row>
    <row r="47" spans="1:16">
      <c r="A47" s="26">
        <v>45</v>
      </c>
      <c r="B47" s="27">
        <v>46100</v>
      </c>
      <c r="C47" s="20" t="s">
        <v>16</v>
      </c>
      <c r="D47" s="26" t="s">
        <v>144</v>
      </c>
      <c r="E47" s="26" t="s">
        <v>145</v>
      </c>
      <c r="F47" s="26"/>
      <c r="G47" s="26" t="s">
        <v>57</v>
      </c>
      <c r="H47" s="15" t="s">
        <v>57</v>
      </c>
      <c r="I47" s="26" t="str">
        <f>IF(G47="","",IFERROR(VLOOKUP(G47,Listas!$D$2:$E$23,2,FALSE),""))</f>
        <v>Mario Guamán</v>
      </c>
      <c r="J47" s="26" t="s">
        <v>146</v>
      </c>
      <c r="K47" s="26"/>
      <c r="L47" s="26"/>
      <c r="M47" s="27">
        <f t="shared" si="6"/>
        <v>46105</v>
      </c>
      <c r="N47" s="26" t="str">
        <f t="shared" ca="1" si="7"/>
        <v>CERRADO</v>
      </c>
      <c r="O47" s="26"/>
      <c r="P47" s="84" t="str">
        <f>IFERROR(VLOOKUP(G47,Listas!$I$2:$J$23,2,FALSE),"")</f>
        <v>'Listas'!$P$2:$P$16</v>
      </c>
    </row>
    <row r="48" spans="1:16">
      <c r="A48" s="26">
        <v>46</v>
      </c>
      <c r="B48" s="27">
        <v>46100</v>
      </c>
      <c r="C48" s="20" t="s">
        <v>16</v>
      </c>
      <c r="D48" s="26" t="s">
        <v>147</v>
      </c>
      <c r="E48" s="26" t="s">
        <v>142</v>
      </c>
      <c r="F48" s="26"/>
      <c r="G48" s="26" t="s">
        <v>52</v>
      </c>
      <c r="H48" s="15" t="s">
        <v>54</v>
      </c>
      <c r="I48" s="26" t="str">
        <f>IF(G48="","",IFERROR(VLOOKUP(G48,Listas!$D$2:$E$23,2,FALSE),""))</f>
        <v>André Cobo</v>
      </c>
      <c r="J48" s="26" t="s">
        <v>148</v>
      </c>
      <c r="K48" s="26"/>
      <c r="L48" s="26"/>
      <c r="M48" s="27">
        <f t="shared" si="6"/>
        <v>46105</v>
      </c>
      <c r="N48" s="26" t="str">
        <f t="shared" ca="1" si="7"/>
        <v>CERRADO</v>
      </c>
      <c r="O48" s="26"/>
      <c r="P48" s="84" t="str">
        <f>IFERROR(VLOOKUP(G48,Listas!$I$2:$J$23,2,FALSE),"")</f>
        <v>'Listas'!$K$7:$K$7</v>
      </c>
    </row>
    <row r="49" spans="1:16" ht="28.8">
      <c r="A49" s="26">
        <v>47</v>
      </c>
      <c r="B49" s="27">
        <v>46101</v>
      </c>
      <c r="C49" s="20" t="s">
        <v>16</v>
      </c>
      <c r="D49" s="26" t="s">
        <v>149</v>
      </c>
      <c r="E49" s="37" t="s">
        <v>150</v>
      </c>
      <c r="F49" s="26"/>
      <c r="G49" s="26" t="s">
        <v>30</v>
      </c>
      <c r="H49" s="15" t="s">
        <v>30</v>
      </c>
      <c r="I49" s="26" t="str">
        <f>IF(G49="","",IFERROR(VLOOKUP(G49,Listas!$D$2:$E$23,2,FALSE),""))</f>
        <v>Brian Sarzosa</v>
      </c>
      <c r="J49" s="26" t="s">
        <v>151</v>
      </c>
      <c r="K49" s="26"/>
      <c r="L49" s="26"/>
      <c r="M49" s="27">
        <f t="shared" si="6"/>
        <v>46106</v>
      </c>
      <c r="N49" s="26" t="str">
        <f t="shared" ca="1" si="7"/>
        <v>CERRADO</v>
      </c>
      <c r="O49" s="26"/>
      <c r="P49" s="84" t="str">
        <f>IFERROR(VLOOKUP(G49,Listas!$I$2:$J$23,2,FALSE),"")</f>
        <v>'Listas'!$N$2:$N$17</v>
      </c>
    </row>
    <row r="50" spans="1:16">
      <c r="A50" s="26">
        <v>48</v>
      </c>
      <c r="B50" s="27">
        <v>46101</v>
      </c>
      <c r="C50" s="20" t="s">
        <v>16</v>
      </c>
      <c r="D50" s="26" t="s">
        <v>152</v>
      </c>
      <c r="E50" s="26" t="s">
        <v>153</v>
      </c>
      <c r="F50" s="26"/>
      <c r="G50" s="26" t="s">
        <v>20</v>
      </c>
      <c r="H50" s="15" t="s">
        <v>75</v>
      </c>
      <c r="I50" s="37" t="str">
        <f>IF(G50="","",IFERROR(VLOOKUP(G50,Listas!$D$2:$E$23,2,FALSE),""))</f>
        <v>Pablo Velasco</v>
      </c>
      <c r="J50" s="26" t="s">
        <v>154</v>
      </c>
      <c r="K50" s="26"/>
      <c r="L50" s="26"/>
      <c r="M50" s="27">
        <f t="shared" si="6"/>
        <v>46106</v>
      </c>
      <c r="N50" s="26" t="str">
        <f t="shared" ca="1" si="7"/>
        <v>CERRADO</v>
      </c>
      <c r="O50" s="26"/>
      <c r="P50" s="84" t="str">
        <f>IFERROR(VLOOKUP(G50,Listas!$I$2:$J$23,2,FALSE),"")</f>
        <v>'Listas'!$M$2:$M$19</v>
      </c>
    </row>
    <row r="51" spans="1:16">
      <c r="A51" s="26">
        <v>49</v>
      </c>
      <c r="B51" s="27">
        <v>46101</v>
      </c>
      <c r="C51" s="20" t="s">
        <v>23</v>
      </c>
      <c r="D51" s="26" t="s">
        <v>155</v>
      </c>
      <c r="E51" s="26" t="s">
        <v>156</v>
      </c>
      <c r="F51" s="26"/>
      <c r="G51" s="26" t="s">
        <v>20</v>
      </c>
      <c r="H51" s="15" t="s">
        <v>157</v>
      </c>
      <c r="I51" s="26" t="str">
        <f>IF(G51="","",IFERROR(VLOOKUP(G51,Listas!$D$2:$E$23,2,FALSE),""))</f>
        <v>Pablo Velasco</v>
      </c>
      <c r="J51" s="26" t="s">
        <v>158</v>
      </c>
      <c r="K51" s="26"/>
      <c r="L51" s="26"/>
      <c r="M51" s="27">
        <f t="shared" si="6"/>
        <v>46106</v>
      </c>
      <c r="N51" s="26" t="str">
        <f t="shared" ca="1" si="7"/>
        <v>CERRADO</v>
      </c>
      <c r="O51" s="26"/>
      <c r="P51" s="84" t="str">
        <f>IFERROR(VLOOKUP(G51,Listas!$I$2:$J$23,2,FALSE),"")</f>
        <v>'Listas'!$M$2:$M$19</v>
      </c>
    </row>
    <row r="52" spans="1:16" ht="28.8">
      <c r="A52" s="26">
        <v>50</v>
      </c>
      <c r="B52" s="27">
        <v>46104</v>
      </c>
      <c r="C52" s="20" t="s">
        <v>23</v>
      </c>
      <c r="D52" s="26" t="s">
        <v>159</v>
      </c>
      <c r="E52" s="37" t="s">
        <v>131</v>
      </c>
      <c r="F52" s="26"/>
      <c r="G52" s="26" t="s">
        <v>30</v>
      </c>
      <c r="H52" s="15" t="s">
        <v>30</v>
      </c>
      <c r="I52" s="26" t="str">
        <f>IF(G52="","",IFERROR(VLOOKUP(G52,Listas!$D$2:$E$23,2,FALSE),""))</f>
        <v>Brian Sarzosa</v>
      </c>
      <c r="J52" s="26" t="s">
        <v>160</v>
      </c>
      <c r="K52" s="26"/>
      <c r="L52" s="26"/>
      <c r="M52" s="27">
        <f t="shared" si="6"/>
        <v>46109</v>
      </c>
      <c r="N52" s="26" t="str">
        <f t="shared" ca="1" si="7"/>
        <v>CERRADO</v>
      </c>
      <c r="O52" s="26"/>
      <c r="P52" s="84" t="str">
        <f>IFERROR(VLOOKUP(G52,Listas!$I$2:$J$23,2,FALSE),"")</f>
        <v>'Listas'!$N$2:$N$17</v>
      </c>
    </row>
    <row r="53" spans="1:16">
      <c r="A53" s="26">
        <v>51</v>
      </c>
      <c r="B53" s="27">
        <v>46104</v>
      </c>
      <c r="C53" s="20" t="s">
        <v>23</v>
      </c>
      <c r="D53" s="26" t="s">
        <v>161</v>
      </c>
      <c r="E53" s="26" t="s">
        <v>162</v>
      </c>
      <c r="F53" s="26"/>
      <c r="G53" s="26" t="s">
        <v>30</v>
      </c>
      <c r="H53" s="26" t="s">
        <v>163</v>
      </c>
      <c r="I53" s="26" t="str">
        <f>IF(G53="","",IFERROR(VLOOKUP(G53,Listas!$D$2:$E$23,2,FALSE),""))</f>
        <v>Brian Sarzosa</v>
      </c>
      <c r="J53" s="26" t="s">
        <v>160</v>
      </c>
      <c r="K53" s="26"/>
      <c r="L53" s="26"/>
      <c r="M53" s="27">
        <f t="shared" si="6"/>
        <v>46109</v>
      </c>
      <c r="N53" s="26" t="str">
        <f t="shared" ca="1" si="7"/>
        <v>CERRADO</v>
      </c>
      <c r="O53" s="26"/>
      <c r="P53" s="84" t="str">
        <f>IFERROR(VLOOKUP(G53,Listas!$I$2:$J$23,2,FALSE),"")</f>
        <v>'Listas'!$N$2:$N$17</v>
      </c>
    </row>
    <row r="54" spans="1:16" ht="28.8">
      <c r="A54" s="26">
        <v>52</v>
      </c>
      <c r="B54" s="27">
        <v>46104</v>
      </c>
      <c r="C54" s="20" t="s">
        <v>23</v>
      </c>
      <c r="D54" s="26" t="s">
        <v>164</v>
      </c>
      <c r="E54" s="37" t="s">
        <v>115</v>
      </c>
      <c r="F54" s="26"/>
      <c r="G54" s="26" t="s">
        <v>20</v>
      </c>
      <c r="H54" s="15" t="s">
        <v>75</v>
      </c>
      <c r="I54" s="26" t="str">
        <f>IF(G54="","",IFERROR(VLOOKUP(G54,Listas!$D$2:$E$23,2,FALSE),""))</f>
        <v>Pablo Velasco</v>
      </c>
      <c r="J54" s="26" t="s">
        <v>165</v>
      </c>
      <c r="K54" s="26"/>
      <c r="L54" s="26"/>
      <c r="M54" s="27">
        <f t="shared" si="6"/>
        <v>46109</v>
      </c>
      <c r="N54" s="26" t="str">
        <f t="shared" ca="1" si="7"/>
        <v>CERRADO</v>
      </c>
      <c r="O54" s="26"/>
      <c r="P54" s="84" t="str">
        <f>IFERROR(VLOOKUP(G54,Listas!$I$2:$J$23,2,FALSE),"")</f>
        <v>'Listas'!$M$2:$M$19</v>
      </c>
    </row>
    <row r="55" spans="1:16" ht="72">
      <c r="A55" s="26">
        <v>53</v>
      </c>
      <c r="B55" s="8">
        <v>46104</v>
      </c>
      <c r="C55" s="20" t="s">
        <v>23</v>
      </c>
      <c r="D55" s="7" t="s">
        <v>166</v>
      </c>
      <c r="E55" s="7" t="s">
        <v>150</v>
      </c>
      <c r="F55" s="7"/>
      <c r="G55" s="26" t="s">
        <v>20</v>
      </c>
      <c r="H55" s="15" t="s">
        <v>157</v>
      </c>
      <c r="I55" s="7" t="str">
        <f>IF(G55="","",IFERROR(VLOOKUP(G55,Listas!$D$2:$E$23,2,FALSE),""))</f>
        <v>Pablo Velasco</v>
      </c>
      <c r="J55" s="7" t="s">
        <v>167</v>
      </c>
      <c r="K55" s="26"/>
      <c r="L55" s="8">
        <f>B55</f>
        <v>46104</v>
      </c>
      <c r="M55" s="8">
        <f>B55</f>
        <v>46104</v>
      </c>
      <c r="N55" s="10" t="str">
        <f ca="1">IF(M55&lt;&gt;"","CERRADO",IF(L55&gt;TODAY(),"EN PROCESO",IF(M55="","ABIERTO")))</f>
        <v>CERRADO</v>
      </c>
      <c r="O55" s="7"/>
      <c r="P55" s="84" t="str">
        <f>IFERROR(VLOOKUP(G55,Listas!$I$2:$J$23,2,FALSE),"")</f>
        <v>'Listas'!$M$2:$M$19</v>
      </c>
    </row>
    <row r="56" spans="1:16">
      <c r="A56" s="26">
        <v>54</v>
      </c>
      <c r="B56" s="27">
        <v>46104</v>
      </c>
      <c r="C56" s="20" t="s">
        <v>23</v>
      </c>
      <c r="D56" s="26" t="s">
        <v>168</v>
      </c>
      <c r="E56" s="26" t="s">
        <v>169</v>
      </c>
      <c r="F56" s="26"/>
      <c r="G56" s="26" t="s">
        <v>57</v>
      </c>
      <c r="H56" s="15" t="s">
        <v>57</v>
      </c>
      <c r="I56" s="26" t="str">
        <f>IF(G56="","",IFERROR(VLOOKUP(G56,Listas!$D$2:$E$23,2,FALSE),""))</f>
        <v>Mario Guamán</v>
      </c>
      <c r="J56" s="26" t="s">
        <v>165</v>
      </c>
      <c r="K56" s="26"/>
      <c r="L56" s="26"/>
      <c r="M56" s="27">
        <f t="shared" ref="M56:M75" si="8">B56+5</f>
        <v>46109</v>
      </c>
      <c r="N56" s="26" t="str">
        <f t="shared" ref="N56:N85" ca="1" si="9">IF(M56&lt;TODAY(),"CERRADO","ABIERTO")</f>
        <v>CERRADO</v>
      </c>
      <c r="O56" s="26"/>
      <c r="P56" s="84" t="str">
        <f>IFERROR(VLOOKUP(G56,Listas!$I$2:$J$23,2,FALSE),"")</f>
        <v>'Listas'!$P$2:$P$16</v>
      </c>
    </row>
    <row r="57" spans="1:16">
      <c r="A57" s="26">
        <v>55</v>
      </c>
      <c r="B57" s="27">
        <v>46104</v>
      </c>
      <c r="C57" s="20" t="s">
        <v>23</v>
      </c>
      <c r="D57" s="26" t="s">
        <v>170</v>
      </c>
      <c r="E57" s="26" t="s">
        <v>171</v>
      </c>
      <c r="F57" s="26"/>
      <c r="G57" s="26" t="s">
        <v>54</v>
      </c>
      <c r="H57" s="15" t="s">
        <v>54</v>
      </c>
      <c r="I57" s="26" t="str">
        <f>IF(G57="","",IFERROR(VLOOKUP(G57,Listas!$D$2:$E$23,2,FALSE),""))</f>
        <v>Daniel Espinoza</v>
      </c>
      <c r="J57" s="26" t="s">
        <v>172</v>
      </c>
      <c r="K57" s="26"/>
      <c r="L57" s="26"/>
      <c r="M57" s="27">
        <f t="shared" si="8"/>
        <v>46109</v>
      </c>
      <c r="N57" s="26" t="str">
        <f t="shared" ca="1" si="9"/>
        <v>CERRADO</v>
      </c>
      <c r="O57" s="26"/>
      <c r="P57" s="84" t="str">
        <f>IFERROR(VLOOKUP(G57,Listas!$I$2:$J$23,2,FALSE),"")</f>
        <v>'Listas'!$O$2:$O$15</v>
      </c>
    </row>
    <row r="58" spans="1:16">
      <c r="A58" s="26">
        <v>56</v>
      </c>
      <c r="B58" s="27">
        <v>46105</v>
      </c>
      <c r="C58" s="20" t="s">
        <v>23</v>
      </c>
      <c r="D58" s="26" t="s">
        <v>173</v>
      </c>
      <c r="E58" s="26" t="s">
        <v>174</v>
      </c>
      <c r="F58" s="26"/>
      <c r="G58" s="26" t="s">
        <v>175</v>
      </c>
      <c r="H58" s="15" t="s">
        <v>75</v>
      </c>
      <c r="I58" s="26" t="str">
        <f>IF(G58="","",IFERROR(VLOOKUP(G58,Listas!$D$2:$E$23,2,FALSE),""))</f>
        <v>Sebastián Balseca</v>
      </c>
      <c r="J58" s="26" t="s">
        <v>176</v>
      </c>
      <c r="K58" s="26"/>
      <c r="L58" s="26"/>
      <c r="M58" s="27">
        <f t="shared" si="8"/>
        <v>46110</v>
      </c>
      <c r="N58" s="26" t="str">
        <f t="shared" ca="1" si="9"/>
        <v>CERRADO</v>
      </c>
      <c r="O58" s="26"/>
      <c r="P58" s="84" t="str">
        <f>IFERROR(VLOOKUP(G58,Listas!$I$2:$J$23,2,FALSE),"")</f>
        <v>'Listas'!$R$2:$R$16</v>
      </c>
    </row>
    <row r="59" spans="1:16">
      <c r="A59" s="26">
        <v>57</v>
      </c>
      <c r="B59" s="27">
        <v>46105</v>
      </c>
      <c r="C59" s="20" t="s">
        <v>16</v>
      </c>
      <c r="D59" s="26" t="s">
        <v>177</v>
      </c>
      <c r="E59" s="26" t="s">
        <v>178</v>
      </c>
      <c r="F59" s="26"/>
      <c r="G59" s="26" t="s">
        <v>52</v>
      </c>
      <c r="H59" s="15" t="s">
        <v>52</v>
      </c>
      <c r="I59" s="26" t="str">
        <f>IF(G59="","",IFERROR(VLOOKUP(G59,Listas!$D$2:$E$23,2,FALSE),""))</f>
        <v>André Cobo</v>
      </c>
      <c r="J59" s="26" t="s">
        <v>179</v>
      </c>
      <c r="K59" s="26"/>
      <c r="L59" s="26"/>
      <c r="M59" s="27">
        <f t="shared" si="8"/>
        <v>46110</v>
      </c>
      <c r="N59" s="26" t="str">
        <f t="shared" ca="1" si="9"/>
        <v>CERRADO</v>
      </c>
      <c r="O59" s="26"/>
      <c r="P59" s="84" t="str">
        <f>IFERROR(VLOOKUP(G59,Listas!$I$2:$J$23,2,FALSE),"")</f>
        <v>'Listas'!$K$7:$K$7</v>
      </c>
    </row>
    <row r="60" spans="1:16" ht="28.8">
      <c r="A60" s="26">
        <v>58</v>
      </c>
      <c r="B60" s="27">
        <v>46105</v>
      </c>
      <c r="C60" s="20" t="s">
        <v>23</v>
      </c>
      <c r="D60" s="26" t="s">
        <v>180</v>
      </c>
      <c r="E60" s="37" t="s">
        <v>181</v>
      </c>
      <c r="F60" s="26"/>
      <c r="G60" s="26" t="s">
        <v>57</v>
      </c>
      <c r="H60" s="15" t="s">
        <v>57</v>
      </c>
      <c r="I60" s="26" t="str">
        <f>IF(G60="","",IFERROR(VLOOKUP(G60,Listas!$D$2:$E$23,2,FALSE),""))</f>
        <v>Mario Guamán</v>
      </c>
      <c r="J60" s="26" t="s">
        <v>182</v>
      </c>
      <c r="K60" s="26"/>
      <c r="L60" s="26"/>
      <c r="M60" s="27">
        <f t="shared" si="8"/>
        <v>46110</v>
      </c>
      <c r="N60" s="26" t="str">
        <f t="shared" ca="1" si="9"/>
        <v>CERRADO</v>
      </c>
      <c r="O60" s="26"/>
      <c r="P60" s="84" t="str">
        <f>IFERROR(VLOOKUP(G60,Listas!$I$2:$J$23,2,FALSE),"")</f>
        <v>'Listas'!$P$2:$P$16</v>
      </c>
    </row>
    <row r="61" spans="1:16" ht="57.6">
      <c r="A61" s="26">
        <v>59</v>
      </c>
      <c r="B61" s="27">
        <v>46105</v>
      </c>
      <c r="C61" s="20" t="s">
        <v>16</v>
      </c>
      <c r="D61" s="26" t="s">
        <v>183</v>
      </c>
      <c r="E61" s="37" t="s">
        <v>184</v>
      </c>
      <c r="F61" s="26"/>
      <c r="G61" s="26" t="s">
        <v>72</v>
      </c>
      <c r="H61" s="15" t="s">
        <v>72</v>
      </c>
      <c r="I61" s="26" t="str">
        <f>IF(G61="","",IFERROR(VLOOKUP(G61,Listas!$D$2:$E$23,2,FALSE),""))</f>
        <v>Alejandro Pesantez</v>
      </c>
      <c r="J61" s="26" t="s">
        <v>185</v>
      </c>
      <c r="K61" s="26"/>
      <c r="L61" s="26"/>
      <c r="M61" s="27">
        <f t="shared" si="8"/>
        <v>46110</v>
      </c>
      <c r="N61" s="26" t="str">
        <f t="shared" ca="1" si="9"/>
        <v>CERRADO</v>
      </c>
      <c r="O61" s="26"/>
      <c r="P61" s="84" t="str">
        <f>IFERROR(VLOOKUP(G61,Listas!$I$2:$J$23,2,FALSE),"")</f>
        <v>'Listas'!$Q$2:$Q$10</v>
      </c>
    </row>
    <row r="62" spans="1:16" ht="43.2">
      <c r="A62" s="26">
        <v>60</v>
      </c>
      <c r="B62" s="27">
        <v>46105</v>
      </c>
      <c r="C62" s="20" t="s">
        <v>23</v>
      </c>
      <c r="D62" s="26" t="s">
        <v>186</v>
      </c>
      <c r="E62" s="37" t="s">
        <v>187</v>
      </c>
      <c r="F62" s="26"/>
      <c r="G62" s="26" t="s">
        <v>119</v>
      </c>
      <c r="H62" s="15" t="s">
        <v>57</v>
      </c>
      <c r="I62" s="26" t="str">
        <f>IF(G62="","",IFERROR(VLOOKUP(G62,Listas!$D$2:$E$23,2,FALSE),""))</f>
        <v>Estefanía Guilcapi</v>
      </c>
      <c r="J62" s="26" t="s">
        <v>188</v>
      </c>
      <c r="K62" s="26"/>
      <c r="L62" s="26"/>
      <c r="M62" s="27">
        <f t="shared" si="8"/>
        <v>46110</v>
      </c>
      <c r="N62" s="26" t="str">
        <f t="shared" ca="1" si="9"/>
        <v>CERRADO</v>
      </c>
      <c r="O62" s="26"/>
      <c r="P62" s="84" t="str">
        <f>IFERROR(VLOOKUP(G62,Listas!$I$2:$J$23,2,FALSE),"")</f>
        <v>'Listas'!$K$15:$K$15</v>
      </c>
    </row>
    <row r="63" spans="1:16">
      <c r="A63" s="26">
        <v>61</v>
      </c>
      <c r="B63" s="27">
        <v>46105</v>
      </c>
      <c r="C63" s="20" t="s">
        <v>16</v>
      </c>
      <c r="D63" s="26" t="s">
        <v>189</v>
      </c>
      <c r="E63" s="26" t="s">
        <v>190</v>
      </c>
      <c r="F63" s="26"/>
      <c r="G63" s="26" t="s">
        <v>20</v>
      </c>
      <c r="H63" s="15" t="s">
        <v>75</v>
      </c>
      <c r="I63" s="26" t="str">
        <f>IF(G63="","",IFERROR(VLOOKUP(G63,Listas!$D$2:$E$23,2,FALSE),""))</f>
        <v>Pablo Velasco</v>
      </c>
      <c r="J63" s="26" t="s">
        <v>191</v>
      </c>
      <c r="K63" s="26"/>
      <c r="L63" s="26"/>
      <c r="M63" s="27">
        <f t="shared" si="8"/>
        <v>46110</v>
      </c>
      <c r="N63" s="26" t="str">
        <f t="shared" ca="1" si="9"/>
        <v>CERRADO</v>
      </c>
      <c r="O63" s="26"/>
      <c r="P63" s="84" t="str">
        <f>IFERROR(VLOOKUP(G63,Listas!$I$2:$J$23,2,FALSE),"")</f>
        <v>'Listas'!$M$2:$M$19</v>
      </c>
    </row>
    <row r="64" spans="1:16" ht="28.8">
      <c r="A64" s="26">
        <v>62</v>
      </c>
      <c r="B64" s="27">
        <v>46106</v>
      </c>
      <c r="C64" s="20" t="s">
        <v>23</v>
      </c>
      <c r="D64" s="26" t="s">
        <v>192</v>
      </c>
      <c r="E64" s="37" t="s">
        <v>181</v>
      </c>
      <c r="F64" s="26"/>
      <c r="G64" s="26" t="s">
        <v>57</v>
      </c>
      <c r="H64" s="15" t="s">
        <v>57</v>
      </c>
      <c r="I64" s="26" t="str">
        <f>IF(G64="","",IFERROR(VLOOKUP(G64,Listas!$D$2:$E$23,2,FALSE),""))</f>
        <v>Mario Guamán</v>
      </c>
      <c r="J64" s="26" t="s">
        <v>193</v>
      </c>
      <c r="K64" s="26"/>
      <c r="L64" s="26"/>
      <c r="M64" s="27">
        <f t="shared" si="8"/>
        <v>46111</v>
      </c>
      <c r="N64" s="26" t="str">
        <f t="shared" ca="1" si="9"/>
        <v>CERRADO</v>
      </c>
      <c r="O64" s="26"/>
      <c r="P64" s="84" t="str">
        <f>IFERROR(VLOOKUP(G64,Listas!$I$2:$J$23,2,FALSE),"")</f>
        <v>'Listas'!$P$2:$P$16</v>
      </c>
    </row>
    <row r="65" spans="1:16" ht="28.8">
      <c r="A65" s="26">
        <v>63</v>
      </c>
      <c r="B65" s="27">
        <v>46106</v>
      </c>
      <c r="C65" s="20" t="s">
        <v>23</v>
      </c>
      <c r="D65" s="26" t="s">
        <v>194</v>
      </c>
      <c r="E65" s="37" t="s">
        <v>181</v>
      </c>
      <c r="F65" s="26"/>
      <c r="G65" s="26" t="s">
        <v>57</v>
      </c>
      <c r="H65" s="15" t="s">
        <v>57</v>
      </c>
      <c r="I65" s="26" t="str">
        <f>IF(G65="","",IFERROR(VLOOKUP(G65,Listas!$D$2:$E$23,2,FALSE),""))</f>
        <v>Mario Guamán</v>
      </c>
      <c r="J65" s="26" t="s">
        <v>195</v>
      </c>
      <c r="K65" s="26"/>
      <c r="L65" s="26"/>
      <c r="M65" s="27">
        <f t="shared" si="8"/>
        <v>46111</v>
      </c>
      <c r="N65" s="26" t="str">
        <f t="shared" ca="1" si="9"/>
        <v>CERRADO</v>
      </c>
      <c r="O65" s="26"/>
      <c r="P65" s="84" t="str">
        <f>IFERROR(VLOOKUP(G65,Listas!$I$2:$J$23,2,FALSE),"")</f>
        <v>'Listas'!$P$2:$P$16</v>
      </c>
    </row>
    <row r="66" spans="1:16" ht="28.8">
      <c r="A66" s="26">
        <v>64</v>
      </c>
      <c r="B66" s="27">
        <v>46106</v>
      </c>
      <c r="C66" s="20" t="s">
        <v>23</v>
      </c>
      <c r="D66" s="26" t="s">
        <v>196</v>
      </c>
      <c r="E66" s="37" t="s">
        <v>181</v>
      </c>
      <c r="F66" s="26"/>
      <c r="G66" s="26" t="s">
        <v>20</v>
      </c>
      <c r="H66" s="15" t="s">
        <v>75</v>
      </c>
      <c r="I66" s="26" t="str">
        <f>IF(G66="","",IFERROR(VLOOKUP(G66,Listas!$D$2:$E$23,2,FALSE),""))</f>
        <v>Pablo Velasco</v>
      </c>
      <c r="J66" s="26" t="s">
        <v>197</v>
      </c>
      <c r="K66" s="26"/>
      <c r="L66" s="26"/>
      <c r="M66" s="27">
        <f t="shared" si="8"/>
        <v>46111</v>
      </c>
      <c r="N66" s="26" t="str">
        <f t="shared" ca="1" si="9"/>
        <v>CERRADO</v>
      </c>
      <c r="O66" s="26"/>
      <c r="P66" s="84" t="str">
        <f>IFERROR(VLOOKUP(G66,Listas!$I$2:$J$23,2,FALSE),"")</f>
        <v>'Listas'!$M$2:$M$19</v>
      </c>
    </row>
    <row r="67" spans="1:16">
      <c r="A67" s="26">
        <v>65</v>
      </c>
      <c r="B67" s="27">
        <v>46107</v>
      </c>
      <c r="C67" s="20" t="s">
        <v>23</v>
      </c>
      <c r="D67" s="26" t="s">
        <v>198</v>
      </c>
      <c r="E67" s="26" t="s">
        <v>199</v>
      </c>
      <c r="F67" s="26"/>
      <c r="G67" s="26" t="s">
        <v>57</v>
      </c>
      <c r="H67" s="15" t="s">
        <v>57</v>
      </c>
      <c r="I67" s="26" t="str">
        <f>IF(G67="","",IFERROR(VLOOKUP(G67,Listas!$D$2:$E$23,2,FALSE),""))</f>
        <v>Mario Guamán</v>
      </c>
      <c r="J67" s="26" t="s">
        <v>200</v>
      </c>
      <c r="K67" s="26"/>
      <c r="L67" s="26"/>
      <c r="M67" s="27">
        <f t="shared" si="8"/>
        <v>46112</v>
      </c>
      <c r="N67" s="26" t="str">
        <f t="shared" ca="1" si="9"/>
        <v>CERRADO</v>
      </c>
      <c r="O67" s="26"/>
      <c r="P67" s="84" t="str">
        <f>IFERROR(VLOOKUP(G67,Listas!$I$2:$J$23,2,FALSE),"")</f>
        <v>'Listas'!$P$2:$P$16</v>
      </c>
    </row>
    <row r="68" spans="1:16" ht="28.8">
      <c r="A68" s="26">
        <v>66</v>
      </c>
      <c r="B68" s="27">
        <v>46107</v>
      </c>
      <c r="C68" s="20" t="s">
        <v>23</v>
      </c>
      <c r="D68" s="26" t="s">
        <v>201</v>
      </c>
      <c r="E68" s="37" t="s">
        <v>115</v>
      </c>
      <c r="F68" s="26"/>
      <c r="G68" s="26" t="s">
        <v>20</v>
      </c>
      <c r="H68" s="15" t="s">
        <v>75</v>
      </c>
      <c r="I68" s="26" t="str">
        <f>IF(G68="","",IFERROR(VLOOKUP(G68,Listas!$D$2:$E$23,2,FALSE),""))</f>
        <v>Pablo Velasco</v>
      </c>
      <c r="J68" s="26" t="s">
        <v>202</v>
      </c>
      <c r="K68" s="26"/>
      <c r="L68" s="26"/>
      <c r="M68" s="27">
        <f t="shared" si="8"/>
        <v>46112</v>
      </c>
      <c r="N68" s="26" t="str">
        <f t="shared" ca="1" si="9"/>
        <v>CERRADO</v>
      </c>
      <c r="O68" s="26"/>
      <c r="P68" s="84" t="str">
        <f>IFERROR(VLOOKUP(G68,Listas!$I$2:$J$23,2,FALSE),"")</f>
        <v>'Listas'!$M$2:$M$19</v>
      </c>
    </row>
    <row r="69" spans="1:16">
      <c r="A69" s="26">
        <v>67</v>
      </c>
      <c r="B69" s="27">
        <v>46107</v>
      </c>
      <c r="C69" s="20" t="s">
        <v>23</v>
      </c>
      <c r="D69" s="26" t="s">
        <v>203</v>
      </c>
      <c r="E69" s="26" t="s">
        <v>174</v>
      </c>
      <c r="F69" s="26"/>
      <c r="G69" s="26" t="s">
        <v>69</v>
      </c>
      <c r="H69" s="15" t="s">
        <v>30</v>
      </c>
      <c r="I69" s="37" t="str">
        <f>IF(G69="","",IFERROR(VLOOKUP(G69,Listas!$D$2:$E$23,2,FALSE),""))</f>
        <v>Edison Lema</v>
      </c>
      <c r="J69" s="26" t="s">
        <v>204</v>
      </c>
      <c r="K69" s="26"/>
      <c r="L69" s="26"/>
      <c r="M69" s="27">
        <f t="shared" si="8"/>
        <v>46112</v>
      </c>
      <c r="N69" s="26" t="str">
        <f t="shared" ca="1" si="9"/>
        <v>CERRADO</v>
      </c>
      <c r="O69" s="26"/>
      <c r="P69" s="84" t="str">
        <f>IFERROR(VLOOKUP(G69,Listas!$I$2:$J$23,2,FALSE),"")</f>
        <v>'Listas'!$R$2:$R$16</v>
      </c>
    </row>
    <row r="70" spans="1:16" ht="28.8">
      <c r="A70" s="26">
        <v>68</v>
      </c>
      <c r="B70" s="27">
        <v>46107</v>
      </c>
      <c r="C70" s="20" t="s">
        <v>23</v>
      </c>
      <c r="D70" s="26" t="s">
        <v>205</v>
      </c>
      <c r="E70" s="37" t="s">
        <v>115</v>
      </c>
      <c r="F70" s="26"/>
      <c r="G70" s="26" t="s">
        <v>30</v>
      </c>
      <c r="H70" s="15" t="s">
        <v>30</v>
      </c>
      <c r="I70" s="26" t="str">
        <f>IF(G70="","",IFERROR(VLOOKUP(G70,Listas!$D$2:$E$23,2,FALSE),""))</f>
        <v>Brian Sarzosa</v>
      </c>
      <c r="J70" s="26" t="s">
        <v>206</v>
      </c>
      <c r="K70" s="26"/>
      <c r="L70" s="26"/>
      <c r="M70" s="27">
        <f t="shared" si="8"/>
        <v>46112</v>
      </c>
      <c r="N70" s="26" t="str">
        <f t="shared" ca="1" si="9"/>
        <v>CERRADO</v>
      </c>
      <c r="O70" s="26"/>
      <c r="P70" s="84" t="str">
        <f>IFERROR(VLOOKUP(G70,Listas!$I$2:$J$23,2,FALSE),"")</f>
        <v>'Listas'!$N$2:$N$17</v>
      </c>
    </row>
    <row r="71" spans="1:16" ht="28.8">
      <c r="A71" s="26">
        <v>69</v>
      </c>
      <c r="B71" s="27">
        <v>46107</v>
      </c>
      <c r="C71" s="20" t="s">
        <v>23</v>
      </c>
      <c r="D71" s="26" t="s">
        <v>207</v>
      </c>
      <c r="E71" s="37" t="s">
        <v>115</v>
      </c>
      <c r="F71" s="26"/>
      <c r="G71" s="26" t="s">
        <v>72</v>
      </c>
      <c r="H71" s="15" t="s">
        <v>72</v>
      </c>
      <c r="I71" s="26" t="str">
        <f>IF(G71="","",IFERROR(VLOOKUP(G71,Listas!$D$2:$E$23,2,FALSE),""))</f>
        <v>Alejandro Pesantez</v>
      </c>
      <c r="J71" s="26" t="s">
        <v>208</v>
      </c>
      <c r="K71" s="26"/>
      <c r="L71" s="26"/>
      <c r="M71" s="27">
        <f t="shared" si="8"/>
        <v>46112</v>
      </c>
      <c r="N71" s="26" t="str">
        <f t="shared" ca="1" si="9"/>
        <v>CERRADO</v>
      </c>
      <c r="O71" s="26"/>
      <c r="P71" s="84" t="str">
        <f>IFERROR(VLOOKUP(G71,Listas!$I$2:$J$23,2,FALSE),"")</f>
        <v>'Listas'!$Q$2:$Q$10</v>
      </c>
    </row>
    <row r="72" spans="1:16" ht="28.8">
      <c r="A72" s="26">
        <v>70</v>
      </c>
      <c r="B72" s="27">
        <v>46111</v>
      </c>
      <c r="C72" s="20" t="s">
        <v>23</v>
      </c>
      <c r="D72" s="26" t="s">
        <v>209</v>
      </c>
      <c r="E72" s="37" t="s">
        <v>115</v>
      </c>
      <c r="F72" s="26"/>
      <c r="G72" s="26" t="s">
        <v>30</v>
      </c>
      <c r="H72" s="15" t="s">
        <v>30</v>
      </c>
      <c r="I72" s="26" t="str">
        <f>IF(G72="","",IFERROR(VLOOKUP(G72,Listas!$D$2:$E$23,2,FALSE),""))</f>
        <v>Brian Sarzosa</v>
      </c>
      <c r="J72" s="26" t="s">
        <v>210</v>
      </c>
      <c r="K72" s="26"/>
      <c r="L72" s="26"/>
      <c r="M72" s="27">
        <f t="shared" si="8"/>
        <v>46116</v>
      </c>
      <c r="N72" s="26" t="str">
        <f t="shared" ca="1" si="9"/>
        <v>CERRADO</v>
      </c>
      <c r="O72" s="26"/>
      <c r="P72" s="84" t="str">
        <f>IFERROR(VLOOKUP(G72,Listas!$I$2:$J$23,2,FALSE),"")</f>
        <v>'Listas'!$N$2:$N$17</v>
      </c>
    </row>
    <row r="73" spans="1:16" ht="28.8">
      <c r="A73" s="26">
        <v>71</v>
      </c>
      <c r="B73" s="27">
        <v>46111</v>
      </c>
      <c r="C73" s="20" t="s">
        <v>23</v>
      </c>
      <c r="D73" s="26" t="s">
        <v>194</v>
      </c>
      <c r="E73" s="37" t="s">
        <v>115</v>
      </c>
      <c r="F73" s="26"/>
      <c r="G73" s="26" t="s">
        <v>54</v>
      </c>
      <c r="H73" s="15" t="s">
        <v>54</v>
      </c>
      <c r="I73" s="26" t="str">
        <f>IF(G73="","",IFERROR(VLOOKUP(G73,Listas!$D$2:$E$23,2,FALSE),""))</f>
        <v>Daniel Espinoza</v>
      </c>
      <c r="J73" s="26" t="s">
        <v>211</v>
      </c>
      <c r="K73" s="26"/>
      <c r="L73" s="26"/>
      <c r="M73" s="27">
        <f t="shared" si="8"/>
        <v>46116</v>
      </c>
      <c r="N73" s="26" t="str">
        <f t="shared" ca="1" si="9"/>
        <v>CERRADO</v>
      </c>
      <c r="O73" s="26"/>
      <c r="P73" s="84" t="str">
        <f>IFERROR(VLOOKUP(G73,Listas!$I$2:$J$23,2,FALSE),"")</f>
        <v>'Listas'!$O$2:$O$15</v>
      </c>
    </row>
    <row r="74" spans="1:16">
      <c r="A74" s="26">
        <v>72</v>
      </c>
      <c r="B74" s="27">
        <v>46111</v>
      </c>
      <c r="C74" s="20" t="s">
        <v>16</v>
      </c>
      <c r="D74" s="26" t="s">
        <v>212</v>
      </c>
      <c r="E74" s="26" t="s">
        <v>213</v>
      </c>
      <c r="F74" s="26"/>
      <c r="G74" s="26" t="s">
        <v>54</v>
      </c>
      <c r="H74" s="15" t="s">
        <v>54</v>
      </c>
      <c r="I74" s="26" t="str">
        <f>IF(G74="","",IFERROR(VLOOKUP(G74,Listas!$D$2:$E$23,2,FALSE),""))</f>
        <v>Daniel Espinoza</v>
      </c>
      <c r="J74" s="26" t="s">
        <v>214</v>
      </c>
      <c r="K74" s="26"/>
      <c r="L74" s="26"/>
      <c r="M74" s="27">
        <f t="shared" si="8"/>
        <v>46116</v>
      </c>
      <c r="N74" s="26" t="str">
        <f t="shared" ca="1" si="9"/>
        <v>CERRADO</v>
      </c>
      <c r="O74" s="26"/>
      <c r="P74" s="84" t="str">
        <f>IFERROR(VLOOKUP(G74,Listas!$I$2:$J$23,2,FALSE),"")</f>
        <v>'Listas'!$O$2:$O$15</v>
      </c>
    </row>
    <row r="75" spans="1:16">
      <c r="A75" s="26">
        <v>73</v>
      </c>
      <c r="B75" s="27">
        <v>46111</v>
      </c>
      <c r="C75" s="20" t="s">
        <v>16</v>
      </c>
      <c r="D75" s="26" t="s">
        <v>215</v>
      </c>
      <c r="E75" s="26" t="s">
        <v>216</v>
      </c>
      <c r="F75" s="26"/>
      <c r="G75" s="26" t="s">
        <v>217</v>
      </c>
      <c r="H75" s="15" t="s">
        <v>72</v>
      </c>
      <c r="I75" s="26" t="str">
        <f>IF(G75="","",IFERROR(VLOOKUP(G75,Listas!$D$2:$E$23,2,FALSE),""))</f>
        <v>Omar Querembas</v>
      </c>
      <c r="J75" s="26" t="s">
        <v>218</v>
      </c>
      <c r="K75" s="26"/>
      <c r="L75" s="26"/>
      <c r="M75" s="27">
        <f t="shared" si="8"/>
        <v>46116</v>
      </c>
      <c r="N75" s="26" t="str">
        <f t="shared" ca="1" si="9"/>
        <v>CERRADO</v>
      </c>
      <c r="O75" s="26"/>
      <c r="P75" s="84" t="str">
        <f>IFERROR(VLOOKUP(G75,Listas!$I$2:$J$23,2,FALSE),"")</f>
        <v>'Listas'!$K$12:$K$12</v>
      </c>
    </row>
    <row r="76" spans="1:16">
      <c r="A76" s="26">
        <v>74</v>
      </c>
      <c r="B76" s="8">
        <v>46118</v>
      </c>
      <c r="C76" s="20" t="s">
        <v>23</v>
      </c>
      <c r="D76" s="7" t="s">
        <v>219</v>
      </c>
      <c r="E76" s="7" t="s">
        <v>220</v>
      </c>
      <c r="F76" s="7"/>
      <c r="G76" s="26" t="s">
        <v>30</v>
      </c>
      <c r="H76" s="1" t="s">
        <v>221</v>
      </c>
      <c r="I76" s="7" t="str">
        <f>IF(G76="","",IFERROR(VLOOKUP(G76,Listas!$D$2:$E$23,2,FALSE),""))</f>
        <v>Brian Sarzosa</v>
      </c>
      <c r="J76" s="7" t="s">
        <v>222</v>
      </c>
      <c r="K76" s="26"/>
      <c r="L76" s="8">
        <f>B76</f>
        <v>46118</v>
      </c>
      <c r="M76" s="8">
        <f>L76</f>
        <v>46118</v>
      </c>
      <c r="N76" s="10" t="str">
        <f ca="1">IF(M76&lt;&gt;"","CERRADO",IF(L76&gt;TODAY(),"EN PROCESO",IF(M76="","ABIERTO")))</f>
        <v>CERRADO</v>
      </c>
      <c r="O76" s="7"/>
      <c r="P76" s="84" t="str">
        <f>IFERROR(VLOOKUP(G76,Listas!$I$2:$J$23,2,FALSE),"")</f>
        <v>'Listas'!$N$2:$N$17</v>
      </c>
    </row>
    <row r="77" spans="1:16" ht="28.8">
      <c r="A77" s="26">
        <v>75</v>
      </c>
      <c r="B77" s="27">
        <v>46118</v>
      </c>
      <c r="C77" s="20" t="s">
        <v>23</v>
      </c>
      <c r="D77" s="26" t="s">
        <v>223</v>
      </c>
      <c r="E77" s="37" t="s">
        <v>224</v>
      </c>
      <c r="F77" s="26"/>
      <c r="G77" s="26" t="s">
        <v>54</v>
      </c>
      <c r="H77" s="15" t="s">
        <v>52</v>
      </c>
      <c r="I77" s="26" t="str">
        <f>IF(G77="","",IFERROR(VLOOKUP(G77,Listas!$D$2:$E$23,2,FALSE),""))</f>
        <v>Daniel Espinoza</v>
      </c>
      <c r="J77" s="26" t="s">
        <v>225</v>
      </c>
      <c r="K77" s="26"/>
      <c r="L77" s="26"/>
      <c r="M77" s="27">
        <f t="shared" ref="M77:M100" si="10">B77+5</f>
        <v>46123</v>
      </c>
      <c r="N77" s="26" t="str">
        <f t="shared" ca="1" si="9"/>
        <v>CERRADO</v>
      </c>
      <c r="O77" s="26"/>
      <c r="P77" s="84" t="str">
        <f>IFERROR(VLOOKUP(G77,Listas!$I$2:$J$23,2,FALSE),"")</f>
        <v>'Listas'!$O$2:$O$15</v>
      </c>
    </row>
    <row r="78" spans="1:16">
      <c r="A78" s="26">
        <v>76</v>
      </c>
      <c r="B78" s="27">
        <v>46118</v>
      </c>
      <c r="C78" s="20" t="s">
        <v>23</v>
      </c>
      <c r="D78" s="26" t="s">
        <v>226</v>
      </c>
      <c r="E78" s="26" t="s">
        <v>227</v>
      </c>
      <c r="F78" s="26"/>
      <c r="G78" s="26" t="s">
        <v>30</v>
      </c>
      <c r="H78" s="15" t="s">
        <v>30</v>
      </c>
      <c r="I78" s="26" t="str">
        <f>IF(G78="","",IFERROR(VLOOKUP(G78,Listas!$D$2:$E$23,2,FALSE),""))</f>
        <v>Brian Sarzosa</v>
      </c>
      <c r="J78" s="26" t="s">
        <v>228</v>
      </c>
      <c r="K78" s="26"/>
      <c r="L78" s="26"/>
      <c r="M78" s="27">
        <f t="shared" si="10"/>
        <v>46123</v>
      </c>
      <c r="N78" s="26" t="str">
        <f t="shared" ca="1" si="9"/>
        <v>CERRADO</v>
      </c>
      <c r="O78" s="26"/>
      <c r="P78" s="84" t="str">
        <f>IFERROR(VLOOKUP(G78,Listas!$I$2:$J$23,2,FALSE),"")</f>
        <v>'Listas'!$N$2:$N$17</v>
      </c>
    </row>
    <row r="79" spans="1:16" ht="28.8">
      <c r="A79" s="26">
        <v>77</v>
      </c>
      <c r="B79" s="27">
        <v>46118</v>
      </c>
      <c r="C79" s="20" t="s">
        <v>23</v>
      </c>
      <c r="D79" s="26" t="s">
        <v>229</v>
      </c>
      <c r="E79" s="37" t="s">
        <v>181</v>
      </c>
      <c r="F79" s="26"/>
      <c r="G79" s="26" t="s">
        <v>30</v>
      </c>
      <c r="H79" s="15" t="s">
        <v>30</v>
      </c>
      <c r="I79" s="26" t="str">
        <f>IF(G79="","",IFERROR(VLOOKUP(G79,Listas!$D$2:$E$23,2,FALSE),""))</f>
        <v>Brian Sarzosa</v>
      </c>
      <c r="J79" s="26" t="s">
        <v>230</v>
      </c>
      <c r="K79" s="26"/>
      <c r="L79" s="26"/>
      <c r="M79" s="27">
        <f t="shared" si="10"/>
        <v>46123</v>
      </c>
      <c r="N79" s="26" t="str">
        <f t="shared" ca="1" si="9"/>
        <v>CERRADO</v>
      </c>
      <c r="O79" s="26"/>
      <c r="P79" s="84" t="str">
        <f>IFERROR(VLOOKUP(G79,Listas!$I$2:$J$23,2,FALSE),"")</f>
        <v>'Listas'!$N$2:$N$17</v>
      </c>
    </row>
    <row r="80" spans="1:16">
      <c r="A80" s="26">
        <v>78</v>
      </c>
      <c r="B80" s="27">
        <v>46118</v>
      </c>
      <c r="C80" s="20" t="s">
        <v>23</v>
      </c>
      <c r="D80" s="26" t="s">
        <v>231</v>
      </c>
      <c r="E80" s="26" t="s">
        <v>232</v>
      </c>
      <c r="F80" s="26"/>
      <c r="G80" s="26" t="s">
        <v>30</v>
      </c>
      <c r="H80" s="15" t="s">
        <v>30</v>
      </c>
      <c r="I80" s="26" t="str">
        <f>IF(G80="","",IFERROR(VLOOKUP(G80,Listas!$D$2:$E$23,2,FALSE),""))</f>
        <v>Brian Sarzosa</v>
      </c>
      <c r="J80" s="26" t="s">
        <v>233</v>
      </c>
      <c r="K80" s="26"/>
      <c r="L80" s="26"/>
      <c r="M80" s="27">
        <f t="shared" si="10"/>
        <v>46123</v>
      </c>
      <c r="N80" s="26" t="str">
        <f t="shared" ca="1" si="9"/>
        <v>CERRADO</v>
      </c>
      <c r="O80" s="26"/>
      <c r="P80" s="84" t="str">
        <f>IFERROR(VLOOKUP(G80,Listas!$I$2:$J$23,2,FALSE),"")</f>
        <v>'Listas'!$N$2:$N$17</v>
      </c>
    </row>
    <row r="81" spans="1:16">
      <c r="A81" s="26">
        <v>79</v>
      </c>
      <c r="B81" s="27">
        <v>46118</v>
      </c>
      <c r="C81" s="20" t="s">
        <v>23</v>
      </c>
      <c r="D81" s="26" t="s">
        <v>28</v>
      </c>
      <c r="E81" s="26" t="s">
        <v>234</v>
      </c>
      <c r="F81" s="26"/>
      <c r="G81" s="26" t="s">
        <v>30</v>
      </c>
      <c r="H81" s="15" t="s">
        <v>30</v>
      </c>
      <c r="I81" s="26" t="str">
        <f>IF(G81="","",IFERROR(VLOOKUP(G81,Listas!$D$2:$E$23,2,FALSE),""))</f>
        <v>Brian Sarzosa</v>
      </c>
      <c r="J81" s="26" t="s">
        <v>235</v>
      </c>
      <c r="K81" s="26"/>
      <c r="L81" s="26"/>
      <c r="M81" s="27">
        <f t="shared" si="10"/>
        <v>46123</v>
      </c>
      <c r="N81" s="26" t="str">
        <f t="shared" ca="1" si="9"/>
        <v>CERRADO</v>
      </c>
      <c r="O81" s="26"/>
      <c r="P81" s="84" t="str">
        <f>IFERROR(VLOOKUP(G81,Listas!$I$2:$J$23,2,FALSE),"")</f>
        <v>'Listas'!$N$2:$N$17</v>
      </c>
    </row>
    <row r="82" spans="1:16">
      <c r="A82" s="26">
        <v>80</v>
      </c>
      <c r="B82" s="27">
        <v>46120</v>
      </c>
      <c r="C82" s="20" t="s">
        <v>23</v>
      </c>
      <c r="D82" s="26" t="s">
        <v>236</v>
      </c>
      <c r="E82" s="26" t="s">
        <v>237</v>
      </c>
      <c r="F82" s="26"/>
      <c r="G82" s="26" t="s">
        <v>57</v>
      </c>
      <c r="H82" s="15" t="s">
        <v>58</v>
      </c>
      <c r="I82" s="26" t="str">
        <f>IF(G82="","",IFERROR(VLOOKUP(G82,Listas!$D$2:$E$23,2,FALSE),""))</f>
        <v>Mario Guamán</v>
      </c>
      <c r="J82" s="26" t="s">
        <v>238</v>
      </c>
      <c r="K82" s="26"/>
      <c r="L82" s="26"/>
      <c r="M82" s="27">
        <f t="shared" si="10"/>
        <v>46125</v>
      </c>
      <c r="N82" s="26" t="str">
        <f t="shared" ca="1" si="9"/>
        <v>CERRADO</v>
      </c>
      <c r="O82" s="26"/>
      <c r="P82" s="84" t="str">
        <f>IFERROR(VLOOKUP(G82,Listas!$I$2:$J$23,2,FALSE),"")</f>
        <v>'Listas'!$P$2:$P$16</v>
      </c>
    </row>
    <row r="83" spans="1:16" ht="28.8">
      <c r="A83" s="26">
        <v>81</v>
      </c>
      <c r="B83" s="27">
        <v>46120</v>
      </c>
      <c r="C83" s="20" t="s">
        <v>23</v>
      </c>
      <c r="D83" s="26" t="s">
        <v>28</v>
      </c>
      <c r="E83" s="37" t="s">
        <v>181</v>
      </c>
      <c r="F83" s="26"/>
      <c r="G83" s="26" t="s">
        <v>72</v>
      </c>
      <c r="H83" s="15" t="s">
        <v>30</v>
      </c>
      <c r="I83" s="26" t="str">
        <f>IF(G83="","",IFERROR(VLOOKUP(G83,Listas!$D$2:$E$23,2,FALSE),""))</f>
        <v>Alejandro Pesantez</v>
      </c>
      <c r="J83" s="26" t="s">
        <v>239</v>
      </c>
      <c r="K83" s="26"/>
      <c r="L83" s="26"/>
      <c r="M83" s="27">
        <f t="shared" si="10"/>
        <v>46125</v>
      </c>
      <c r="N83" s="26" t="str">
        <f t="shared" ca="1" si="9"/>
        <v>CERRADO</v>
      </c>
      <c r="O83" s="26"/>
      <c r="P83" s="84" t="str">
        <f>IFERROR(VLOOKUP(G83,Listas!$I$2:$J$23,2,FALSE),"")</f>
        <v>'Listas'!$Q$2:$Q$10</v>
      </c>
    </row>
    <row r="84" spans="1:16">
      <c r="A84" s="26">
        <v>82</v>
      </c>
      <c r="B84" s="27">
        <v>46122</v>
      </c>
      <c r="C84" s="20" t="s">
        <v>23</v>
      </c>
      <c r="D84" s="26" t="s">
        <v>28</v>
      </c>
      <c r="E84" s="26" t="s">
        <v>240</v>
      </c>
      <c r="F84" s="26"/>
      <c r="G84" s="26" t="s">
        <v>30</v>
      </c>
      <c r="H84" s="15" t="s">
        <v>30</v>
      </c>
      <c r="I84" s="26" t="str">
        <f>IF(G84="","",IFERROR(VLOOKUP(G84,Listas!$D$2:$E$23,2,FALSE),""))</f>
        <v>Brian Sarzosa</v>
      </c>
      <c r="J84" s="26" t="s">
        <v>241</v>
      </c>
      <c r="K84" s="26"/>
      <c r="L84" s="26"/>
      <c r="M84" s="27">
        <f t="shared" si="10"/>
        <v>46127</v>
      </c>
      <c r="N84" s="26" t="str">
        <f t="shared" ca="1" si="9"/>
        <v>CERRADO</v>
      </c>
      <c r="O84" s="26"/>
      <c r="P84" s="84" t="str">
        <f>IFERROR(VLOOKUP(G84,Listas!$I$2:$J$23,2,FALSE),"")</f>
        <v>'Listas'!$N$2:$N$17</v>
      </c>
    </row>
    <row r="85" spans="1:16">
      <c r="A85" s="26">
        <v>83</v>
      </c>
      <c r="B85" s="27">
        <v>46128</v>
      </c>
      <c r="C85" s="20" t="s">
        <v>23</v>
      </c>
      <c r="D85" s="26" t="s">
        <v>242</v>
      </c>
      <c r="E85" s="26" t="s">
        <v>232</v>
      </c>
      <c r="F85" s="26"/>
      <c r="G85" s="26" t="s">
        <v>52</v>
      </c>
      <c r="H85" s="15" t="s">
        <v>52</v>
      </c>
      <c r="I85" s="26" t="str">
        <f>IF(G85="","",IFERROR(VLOOKUP(G85,Listas!$D$2:$E$23,2,FALSE),""))</f>
        <v>André Cobo</v>
      </c>
      <c r="J85" s="26" t="s">
        <v>243</v>
      </c>
      <c r="K85" s="26"/>
      <c r="L85" s="26"/>
      <c r="M85" s="27">
        <f t="shared" si="10"/>
        <v>46133</v>
      </c>
      <c r="N85" s="26" t="str">
        <f t="shared" ca="1" si="9"/>
        <v>CERRADO</v>
      </c>
      <c r="O85" s="26"/>
      <c r="P85" s="84" t="str">
        <f>IFERROR(VLOOKUP(G85,Listas!$I$2:$J$23,2,FALSE),"")</f>
        <v>'Listas'!$K$7:$K$7</v>
      </c>
    </row>
    <row r="86" spans="1:16">
      <c r="A86" s="26">
        <v>84</v>
      </c>
      <c r="B86" s="27">
        <v>46135</v>
      </c>
      <c r="C86" s="20" t="s">
        <v>23</v>
      </c>
      <c r="D86" s="26" t="s">
        <v>244</v>
      </c>
      <c r="E86" s="26" t="s">
        <v>245</v>
      </c>
      <c r="F86" s="26"/>
      <c r="G86" s="26" t="s">
        <v>54</v>
      </c>
      <c r="H86" s="15" t="s">
        <v>54</v>
      </c>
      <c r="I86" s="26" t="str">
        <f>IF(G86="","",IFERROR(VLOOKUP(G86,Listas!$D$2:$E$23,2,FALSE),""))</f>
        <v>Daniel Espinoza</v>
      </c>
      <c r="J86" s="26" t="s">
        <v>246</v>
      </c>
      <c r="K86" s="26"/>
      <c r="L86" s="26"/>
      <c r="M86" s="27">
        <f t="shared" si="10"/>
        <v>46140</v>
      </c>
      <c r="N86" s="26" t="str">
        <f t="shared" ref="N86:N100" ca="1" si="11">IF(M86&lt;TODAY(),"CERRADO","ABIERTO")</f>
        <v>CERRADO</v>
      </c>
      <c r="O86" s="26"/>
      <c r="P86" s="84" t="str">
        <f>IFERROR(VLOOKUP(G86,Listas!$I$2:$J$23,2,FALSE),"")</f>
        <v>'Listas'!$O$2:$O$15</v>
      </c>
    </row>
    <row r="87" spans="1:16">
      <c r="A87" s="26">
        <v>85</v>
      </c>
      <c r="B87" s="27">
        <v>46135</v>
      </c>
      <c r="C87" s="20" t="s">
        <v>23</v>
      </c>
      <c r="D87" s="26" t="s">
        <v>247</v>
      </c>
      <c r="E87" s="26" t="s">
        <v>248</v>
      </c>
      <c r="F87" s="26"/>
      <c r="G87" s="26" t="s">
        <v>57</v>
      </c>
      <c r="H87" s="15" t="s">
        <v>57</v>
      </c>
      <c r="I87" s="26" t="str">
        <f>IF(G87="","",IFERROR(VLOOKUP(G87,Listas!$D$2:$E$23,2,FALSE),""))</f>
        <v>Mario Guamán</v>
      </c>
      <c r="J87" s="26" t="s">
        <v>249</v>
      </c>
      <c r="K87" s="26"/>
      <c r="L87" s="26"/>
      <c r="M87" s="27">
        <f t="shared" si="10"/>
        <v>46140</v>
      </c>
      <c r="N87" s="26" t="str">
        <f t="shared" ca="1" si="11"/>
        <v>CERRADO</v>
      </c>
      <c r="O87" s="26"/>
      <c r="P87" s="84" t="str">
        <f>IFERROR(VLOOKUP(G87,Listas!$I$2:$J$23,2,FALSE),"")</f>
        <v>'Listas'!$P$2:$P$16</v>
      </c>
    </row>
    <row r="88" spans="1:16">
      <c r="A88" s="26">
        <v>86</v>
      </c>
      <c r="B88" s="27">
        <v>46136</v>
      </c>
      <c r="C88" s="20" t="s">
        <v>23</v>
      </c>
      <c r="D88" s="26" t="s">
        <v>250</v>
      </c>
      <c r="E88" s="26" t="s">
        <v>251</v>
      </c>
      <c r="F88" s="26"/>
      <c r="G88" s="26" t="s">
        <v>30</v>
      </c>
      <c r="H88" s="15" t="s">
        <v>30</v>
      </c>
      <c r="I88" s="26" t="str">
        <f>IF(G88="","",IFERROR(VLOOKUP(G88,Listas!$D$2:$E$23,2,FALSE),""))</f>
        <v>Brian Sarzosa</v>
      </c>
      <c r="J88" s="26" t="s">
        <v>252</v>
      </c>
      <c r="K88" s="26"/>
      <c r="L88" s="26"/>
      <c r="M88" s="27">
        <f t="shared" si="10"/>
        <v>46141</v>
      </c>
      <c r="N88" s="26" t="str">
        <f t="shared" ca="1" si="11"/>
        <v>CERRADO</v>
      </c>
      <c r="O88" s="26"/>
      <c r="P88" s="84" t="str">
        <f>IFERROR(VLOOKUP(G88,Listas!$I$2:$J$23,2,FALSE),"")</f>
        <v>'Listas'!$N$2:$N$17</v>
      </c>
    </row>
    <row r="89" spans="1:16">
      <c r="A89" s="26">
        <v>87</v>
      </c>
      <c r="B89" s="27">
        <v>46136</v>
      </c>
      <c r="C89" s="20" t="s">
        <v>23</v>
      </c>
      <c r="D89" s="26" t="s">
        <v>253</v>
      </c>
      <c r="E89" s="26" t="s">
        <v>254</v>
      </c>
      <c r="F89" s="26"/>
      <c r="G89" s="26" t="s">
        <v>30</v>
      </c>
      <c r="H89" s="15" t="s">
        <v>30</v>
      </c>
      <c r="I89" s="26" t="str">
        <f>IF(G89="","",IFERROR(VLOOKUP(G89,Listas!$D$2:$E$23,2,FALSE),""))</f>
        <v>Brian Sarzosa</v>
      </c>
      <c r="J89" s="26" t="s">
        <v>255</v>
      </c>
      <c r="K89" s="26"/>
      <c r="L89" s="26"/>
      <c r="M89" s="27">
        <f t="shared" si="10"/>
        <v>46141</v>
      </c>
      <c r="N89" s="26" t="str">
        <f t="shared" ca="1" si="11"/>
        <v>CERRADO</v>
      </c>
      <c r="O89" s="26"/>
      <c r="P89" s="84" t="str">
        <f>IFERROR(VLOOKUP(G89,Listas!$I$2:$J$23,2,FALSE),"")</f>
        <v>'Listas'!$N$2:$N$17</v>
      </c>
    </row>
    <row r="90" spans="1:16">
      <c r="A90" s="26">
        <v>88</v>
      </c>
      <c r="B90" s="27">
        <v>46139</v>
      </c>
      <c r="C90" s="20" t="s">
        <v>23</v>
      </c>
      <c r="D90" s="26" t="s">
        <v>256</v>
      </c>
      <c r="E90" s="26" t="s">
        <v>257</v>
      </c>
      <c r="F90" s="26"/>
      <c r="G90" s="26" t="s">
        <v>54</v>
      </c>
      <c r="H90" s="15" t="s">
        <v>54</v>
      </c>
      <c r="I90" s="26" t="str">
        <f>IF(G90="","",IFERROR(VLOOKUP(G90,Listas!$D$2:$E$23,2,FALSE),""))</f>
        <v>Daniel Espinoza</v>
      </c>
      <c r="J90" s="26" t="s">
        <v>258</v>
      </c>
      <c r="K90" s="26"/>
      <c r="L90" s="26"/>
      <c r="M90" s="27">
        <f t="shared" si="10"/>
        <v>46144</v>
      </c>
      <c r="N90" s="26" t="str">
        <f t="shared" ca="1" si="11"/>
        <v>CERRADO</v>
      </c>
      <c r="O90" s="26"/>
      <c r="P90" s="84" t="str">
        <f>IFERROR(VLOOKUP(G90,Listas!$I$2:$J$23,2,FALSE),"")</f>
        <v>'Listas'!$O$2:$O$15</v>
      </c>
    </row>
    <row r="91" spans="1:16">
      <c r="A91" s="26">
        <v>89</v>
      </c>
      <c r="B91" s="27">
        <v>46139</v>
      </c>
      <c r="C91" s="20" t="s">
        <v>16</v>
      </c>
      <c r="D91" s="26" t="s">
        <v>259</v>
      </c>
      <c r="E91" s="26" t="s">
        <v>260</v>
      </c>
      <c r="F91" s="26"/>
      <c r="G91" s="26" t="s">
        <v>52</v>
      </c>
      <c r="H91" s="15" t="s">
        <v>52</v>
      </c>
      <c r="I91" s="26" t="str">
        <f>IF(G91="","",IFERROR(VLOOKUP(G91,Listas!$D$2:$E$23,2,FALSE),""))</f>
        <v>André Cobo</v>
      </c>
      <c r="J91" s="26" t="s">
        <v>261</v>
      </c>
      <c r="K91" s="26"/>
      <c r="L91" s="26"/>
      <c r="M91" s="27">
        <f t="shared" si="10"/>
        <v>46144</v>
      </c>
      <c r="N91" s="26" t="str">
        <f t="shared" ca="1" si="11"/>
        <v>CERRADO</v>
      </c>
      <c r="O91" s="26"/>
      <c r="P91" s="84" t="str">
        <f>IFERROR(VLOOKUP(G91,Listas!$I$2:$J$23,2,FALSE),"")</f>
        <v>'Listas'!$K$7:$K$7</v>
      </c>
    </row>
    <row r="92" spans="1:16" ht="28.8">
      <c r="A92" s="26">
        <v>90</v>
      </c>
      <c r="B92" s="27">
        <v>46140</v>
      </c>
      <c r="C92" s="20" t="s">
        <v>23</v>
      </c>
      <c r="D92" s="26" t="s">
        <v>262</v>
      </c>
      <c r="E92" s="37" t="s">
        <v>263</v>
      </c>
      <c r="F92" s="26"/>
      <c r="G92" s="26" t="s">
        <v>20</v>
      </c>
      <c r="H92" s="15" t="s">
        <v>75</v>
      </c>
      <c r="I92" s="26" t="str">
        <f>IF(G92="","",IFERROR(VLOOKUP(G92,Listas!$D$2:$E$23,2,FALSE),""))</f>
        <v>Pablo Velasco</v>
      </c>
      <c r="J92" s="26" t="s">
        <v>264</v>
      </c>
      <c r="K92" s="26"/>
      <c r="L92" s="26"/>
      <c r="M92" s="27">
        <f t="shared" si="10"/>
        <v>46145</v>
      </c>
      <c r="N92" s="26" t="str">
        <f t="shared" ca="1" si="11"/>
        <v>CERRADO</v>
      </c>
      <c r="O92" s="26"/>
      <c r="P92" s="84" t="str">
        <f>IFERROR(VLOOKUP(G92,Listas!$I$2:$J$23,2,FALSE),"")</f>
        <v>'Listas'!$M$2:$M$19</v>
      </c>
    </row>
    <row r="93" spans="1:16" ht="28.8">
      <c r="A93" s="26">
        <v>91</v>
      </c>
      <c r="B93" s="27">
        <v>46140</v>
      </c>
      <c r="C93" s="20" t="s">
        <v>23</v>
      </c>
      <c r="D93" s="26" t="s">
        <v>265</v>
      </c>
      <c r="E93" s="37" t="s">
        <v>263</v>
      </c>
      <c r="F93" s="26"/>
      <c r="G93" s="26" t="s">
        <v>57</v>
      </c>
      <c r="H93" s="15" t="s">
        <v>57</v>
      </c>
      <c r="I93" s="26" t="str">
        <f>IF(G93="","",IFERROR(VLOOKUP(G93,Listas!$D$2:$E$23,2,FALSE),""))</f>
        <v>Mario Guamán</v>
      </c>
      <c r="J93" s="26" t="s">
        <v>264</v>
      </c>
      <c r="K93" s="26"/>
      <c r="L93" s="26"/>
      <c r="M93" s="27">
        <f t="shared" si="10"/>
        <v>46145</v>
      </c>
      <c r="N93" s="26" t="str">
        <f t="shared" ca="1" si="11"/>
        <v>CERRADO</v>
      </c>
      <c r="O93" s="26"/>
      <c r="P93" s="84" t="str">
        <f>IFERROR(VLOOKUP(G93,Listas!$I$2:$J$23,2,FALSE),"")</f>
        <v>'Listas'!$P$2:$P$16</v>
      </c>
    </row>
    <row r="94" spans="1:16">
      <c r="A94" s="26">
        <v>92</v>
      </c>
      <c r="B94" s="27">
        <v>46155</v>
      </c>
      <c r="C94" s="20" t="s">
        <v>16</v>
      </c>
      <c r="D94" s="26" t="s">
        <v>219</v>
      </c>
      <c r="E94" s="26" t="s">
        <v>220</v>
      </c>
      <c r="F94" s="26"/>
      <c r="G94" s="26" t="s">
        <v>30</v>
      </c>
      <c r="H94" s="1" t="s">
        <v>221</v>
      </c>
      <c r="I94" s="26" t="str">
        <f>IF(G94="","",IFERROR(VLOOKUP(G94,Listas!$D$2:$E$23,2,FALSE),""))</f>
        <v>Brian Sarzosa</v>
      </c>
      <c r="J94" s="26" t="s">
        <v>222</v>
      </c>
      <c r="K94" s="26"/>
      <c r="L94" s="26"/>
      <c r="M94" s="27">
        <f t="shared" si="10"/>
        <v>46160</v>
      </c>
      <c r="N94" s="26" t="str">
        <f t="shared" ca="1" si="11"/>
        <v>CERRADO</v>
      </c>
      <c r="O94" s="26"/>
      <c r="P94" s="84" t="str">
        <f>IFERROR(VLOOKUP(G94,Listas!$I$2:$J$23,2,FALSE),"")</f>
        <v>'Listas'!$N$2:$N$17</v>
      </c>
    </row>
    <row r="95" spans="1:16">
      <c r="A95" s="26">
        <v>93</v>
      </c>
      <c r="B95" s="27">
        <v>46146</v>
      </c>
      <c r="C95" s="20" t="s">
        <v>23</v>
      </c>
      <c r="D95" s="26" t="s">
        <v>266</v>
      </c>
      <c r="E95" s="26" t="s">
        <v>245</v>
      </c>
      <c r="F95" s="26"/>
      <c r="G95" s="26" t="s">
        <v>30</v>
      </c>
      <c r="H95" s="15" t="s">
        <v>30</v>
      </c>
      <c r="I95" s="26" t="str">
        <f>IF(G95="","",IFERROR(VLOOKUP(G95,Listas!$D$2:$E$23,2,FALSE),""))</f>
        <v>Brian Sarzosa</v>
      </c>
      <c r="J95" s="26" t="s">
        <v>267</v>
      </c>
      <c r="K95" s="26"/>
      <c r="L95" s="26"/>
      <c r="M95" s="27">
        <f t="shared" si="10"/>
        <v>46151</v>
      </c>
      <c r="N95" s="26" t="str">
        <f t="shared" ca="1" si="11"/>
        <v>CERRADO</v>
      </c>
      <c r="O95" s="26"/>
      <c r="P95" s="84" t="str">
        <f>IFERROR(VLOOKUP(G95,Listas!$I$2:$J$23,2,FALSE),"")</f>
        <v>'Listas'!$N$2:$N$17</v>
      </c>
    </row>
    <row r="96" spans="1:16">
      <c r="A96" s="26">
        <v>94</v>
      </c>
      <c r="B96" s="27">
        <v>46147</v>
      </c>
      <c r="C96" s="20" t="s">
        <v>23</v>
      </c>
      <c r="D96" s="26" t="s">
        <v>268</v>
      </c>
      <c r="E96" s="26" t="s">
        <v>245</v>
      </c>
      <c r="F96" s="26"/>
      <c r="G96" s="26" t="s">
        <v>20</v>
      </c>
      <c r="H96" s="15" t="s">
        <v>269</v>
      </c>
      <c r="I96" s="26" t="str">
        <f>IF(G96="","",IFERROR(VLOOKUP(G96,Listas!$D$2:$E$23,2,FALSE),""))</f>
        <v>Pablo Velasco</v>
      </c>
      <c r="J96" s="26" t="s">
        <v>270</v>
      </c>
      <c r="K96" s="26"/>
      <c r="L96" s="26"/>
      <c r="M96" s="27">
        <f t="shared" si="10"/>
        <v>46152</v>
      </c>
      <c r="N96" s="26" t="str">
        <f t="shared" ca="1" si="11"/>
        <v>CERRADO</v>
      </c>
      <c r="O96" s="26"/>
      <c r="P96" s="84" t="str">
        <f>IFERROR(VLOOKUP(G96,Listas!$I$2:$J$23,2,FALSE),"")</f>
        <v>'Listas'!$M$2:$M$19</v>
      </c>
    </row>
    <row r="97" spans="1:16">
      <c r="A97" s="26">
        <v>95</v>
      </c>
      <c r="B97" s="27">
        <v>46147</v>
      </c>
      <c r="C97" s="20" t="s">
        <v>23</v>
      </c>
      <c r="D97" s="26" t="s">
        <v>271</v>
      </c>
      <c r="E97" s="26" t="s">
        <v>272</v>
      </c>
      <c r="F97" s="26"/>
      <c r="G97" s="26" t="s">
        <v>54</v>
      </c>
      <c r="H97" s="15" t="s">
        <v>273</v>
      </c>
      <c r="I97" s="26" t="str">
        <f>IF(G97="","",IFERROR(VLOOKUP(G97,Listas!$D$2:$E$23,2,FALSE),""))</f>
        <v>Daniel Espinoza</v>
      </c>
      <c r="J97" s="26" t="s">
        <v>274</v>
      </c>
      <c r="K97" s="26"/>
      <c r="L97" s="26"/>
      <c r="M97" s="27">
        <f t="shared" si="10"/>
        <v>46152</v>
      </c>
      <c r="N97" s="26" t="str">
        <f t="shared" ca="1" si="11"/>
        <v>CERRADO</v>
      </c>
      <c r="O97" s="26"/>
      <c r="P97" s="84" t="str">
        <f>IFERROR(VLOOKUP(G97,Listas!$I$2:$J$23,2,FALSE),"")</f>
        <v>'Listas'!$O$2:$O$15</v>
      </c>
    </row>
    <row r="98" spans="1:16">
      <c r="A98" s="26">
        <v>96</v>
      </c>
      <c r="B98" s="27">
        <v>46150</v>
      </c>
      <c r="C98" s="20" t="s">
        <v>23</v>
      </c>
      <c r="D98" s="26" t="s">
        <v>275</v>
      </c>
      <c r="E98" s="26" t="s">
        <v>276</v>
      </c>
      <c r="F98" s="26"/>
      <c r="G98" s="26" t="s">
        <v>30</v>
      </c>
      <c r="H98" s="15" t="s">
        <v>30</v>
      </c>
      <c r="I98" s="26" t="str">
        <f>IF(G98="","",IFERROR(VLOOKUP(G98,Listas!$D$2:$E$23,2,FALSE),""))</f>
        <v>Brian Sarzosa</v>
      </c>
      <c r="J98" s="26" t="s">
        <v>277</v>
      </c>
      <c r="K98" s="26"/>
      <c r="L98" s="26"/>
      <c r="M98" s="27">
        <f t="shared" si="10"/>
        <v>46155</v>
      </c>
      <c r="N98" s="26" t="str">
        <f t="shared" ca="1" si="11"/>
        <v>CERRADO</v>
      </c>
      <c r="O98" s="26"/>
      <c r="P98" s="84" t="str">
        <f>IFERROR(VLOOKUP(G98,Listas!$I$2:$J$23,2,FALSE),"")</f>
        <v>'Listas'!$N$2:$N$17</v>
      </c>
    </row>
    <row r="99" spans="1:16">
      <c r="A99" s="26">
        <v>97</v>
      </c>
      <c r="B99" s="27">
        <v>46151</v>
      </c>
      <c r="C99" s="20" t="s">
        <v>23</v>
      </c>
      <c r="D99" s="26" t="s">
        <v>278</v>
      </c>
      <c r="E99" s="26" t="s">
        <v>279</v>
      </c>
      <c r="F99" s="26"/>
      <c r="G99" s="26" t="s">
        <v>57</v>
      </c>
      <c r="H99" s="15" t="s">
        <v>58</v>
      </c>
      <c r="I99" s="26" t="str">
        <f>IF(G99="","",IFERROR(VLOOKUP(G99,Listas!$D$2:$E$23,2,FALSE),""))</f>
        <v>Mario Guamán</v>
      </c>
      <c r="J99" s="26" t="s">
        <v>280</v>
      </c>
      <c r="K99" s="26"/>
      <c r="L99" s="26"/>
      <c r="M99" s="27">
        <f t="shared" si="10"/>
        <v>46156</v>
      </c>
      <c r="N99" s="26" t="str">
        <f t="shared" ca="1" si="11"/>
        <v>CERRADO</v>
      </c>
      <c r="O99" s="26"/>
      <c r="P99" s="84" t="str">
        <f>IFERROR(VLOOKUP(G99,Listas!$I$2:$J$23,2,FALSE),"")</f>
        <v>'Listas'!$P$2:$P$16</v>
      </c>
    </row>
    <row r="100" spans="1:16">
      <c r="A100" s="26">
        <v>98</v>
      </c>
      <c r="B100" s="27">
        <v>46153</v>
      </c>
      <c r="C100" s="20" t="s">
        <v>23</v>
      </c>
      <c r="D100" s="26" t="s">
        <v>281</v>
      </c>
      <c r="E100" s="26" t="s">
        <v>279</v>
      </c>
      <c r="F100" s="26"/>
      <c r="G100" s="26" t="s">
        <v>57</v>
      </c>
      <c r="H100" s="15" t="s">
        <v>58</v>
      </c>
      <c r="I100" s="26" t="str">
        <f>IF(G100="","",IFERROR(VLOOKUP(G100,Listas!$D$2:$E$23,2,FALSE),""))</f>
        <v>Mario Guamán</v>
      </c>
      <c r="J100" s="26" t="s">
        <v>282</v>
      </c>
      <c r="K100" s="26"/>
      <c r="L100" s="26"/>
      <c r="M100" s="27">
        <f t="shared" si="10"/>
        <v>46158</v>
      </c>
      <c r="N100" s="26" t="str">
        <f t="shared" ca="1" si="11"/>
        <v>CERRADO</v>
      </c>
      <c r="O100" s="26"/>
      <c r="P100" s="84" t="str">
        <f>IFERROR(VLOOKUP(G100,Listas!$I$2:$J$23,2,FALSE),"")</f>
        <v>'Listas'!$P$2:$P$16</v>
      </c>
    </row>
    <row r="101" spans="1:16">
      <c r="A101" s="26">
        <v>99</v>
      </c>
      <c r="B101" s="23">
        <v>46155</v>
      </c>
      <c r="C101" s="20" t="s">
        <v>23</v>
      </c>
      <c r="D101" s="22" t="s">
        <v>283</v>
      </c>
      <c r="E101" s="7" t="s">
        <v>284</v>
      </c>
      <c r="F101" s="7"/>
      <c r="G101" s="26" t="s">
        <v>30</v>
      </c>
      <c r="H101" s="15" t="s">
        <v>30</v>
      </c>
      <c r="I101" s="7" t="str">
        <f>IF(G101="","",IFERROR(VLOOKUP(G101,Listas!$D$2:$E$23,2,FALSE),""))</f>
        <v>Brian Sarzosa</v>
      </c>
      <c r="J101" s="7" t="s">
        <v>285</v>
      </c>
      <c r="K101" s="26"/>
      <c r="L101" s="8"/>
      <c r="M101" s="8"/>
      <c r="N101" s="10" t="str">
        <f ca="1">IF(M101&lt;&gt;"","CERRADO",IF(L101&gt;TODAY(),"EN PROCESO",IF(M101="","ABIERTO")))</f>
        <v>ABIERTO</v>
      </c>
      <c r="O101" s="7"/>
      <c r="P101" s="84" t="str">
        <f>IFERROR(VLOOKUP(G101,Listas!$I$2:$J$23,2,FALSE),"")</f>
        <v>'Listas'!$N$2:$N$17</v>
      </c>
    </row>
    <row r="102" spans="1:16">
      <c r="A102" s="26">
        <v>100</v>
      </c>
      <c r="B102" s="27">
        <v>46156</v>
      </c>
      <c r="C102" s="20" t="s">
        <v>23</v>
      </c>
      <c r="D102" s="26" t="s">
        <v>286</v>
      </c>
      <c r="E102" s="26" t="s">
        <v>287</v>
      </c>
      <c r="F102" s="26"/>
      <c r="G102" s="26" t="s">
        <v>20</v>
      </c>
      <c r="H102" s="15" t="s">
        <v>269</v>
      </c>
      <c r="I102" s="26" t="str">
        <f>IF(G102="","",IFERROR(VLOOKUP(G102,Listas!$D$2:$E$23,2,FALSE),""))</f>
        <v>Pablo Velasco</v>
      </c>
      <c r="J102" s="26" t="s">
        <v>288</v>
      </c>
      <c r="K102" s="26"/>
      <c r="L102" s="26"/>
      <c r="M102" s="27">
        <f t="shared" ref="M102:M120" si="12">B102+5</f>
        <v>46161</v>
      </c>
      <c r="N102" s="26" t="str">
        <f t="shared" ref="N102:N120" ca="1" si="13">IF(M102&lt;TODAY(),"CERRADO","ABIERTO")</f>
        <v>CERRADO</v>
      </c>
      <c r="O102" s="26"/>
      <c r="P102" s="84" t="str">
        <f>IFERROR(VLOOKUP(G102,Listas!$I$2:$J$23,2,FALSE),"")</f>
        <v>'Listas'!$M$2:$M$19</v>
      </c>
    </row>
    <row r="103" spans="1:16">
      <c r="A103" s="26">
        <v>101</v>
      </c>
      <c r="B103" s="27">
        <v>46156</v>
      </c>
      <c r="C103" s="20" t="s">
        <v>23</v>
      </c>
      <c r="D103" s="26" t="s">
        <v>289</v>
      </c>
      <c r="E103" s="26" t="s">
        <v>290</v>
      </c>
      <c r="F103" s="26"/>
      <c r="G103" s="26" t="s">
        <v>20</v>
      </c>
      <c r="H103" s="15" t="s">
        <v>75</v>
      </c>
      <c r="I103" s="26" t="str">
        <f>IF(G103="","",IFERROR(VLOOKUP(G103,Listas!$D$2:$E$23,2,FALSE),""))</f>
        <v>Pablo Velasco</v>
      </c>
      <c r="J103" s="26" t="s">
        <v>291</v>
      </c>
      <c r="K103" s="26"/>
      <c r="L103" s="26"/>
      <c r="M103" s="27">
        <f t="shared" si="12"/>
        <v>46161</v>
      </c>
      <c r="N103" s="26" t="str">
        <f t="shared" ca="1" si="13"/>
        <v>CERRADO</v>
      </c>
      <c r="O103" s="26"/>
      <c r="P103" s="84" t="str">
        <f>IFERROR(VLOOKUP(G103,Listas!$I$2:$J$23,2,FALSE),"")</f>
        <v>'Listas'!$M$2:$M$19</v>
      </c>
    </row>
    <row r="104" spans="1:16">
      <c r="A104" s="26">
        <v>102</v>
      </c>
      <c r="B104" s="27">
        <v>46162</v>
      </c>
      <c r="C104" s="20" t="s">
        <v>23</v>
      </c>
      <c r="D104" s="26" t="s">
        <v>292</v>
      </c>
      <c r="E104" s="26" t="s">
        <v>279</v>
      </c>
      <c r="F104" s="26"/>
      <c r="G104" s="26" t="s">
        <v>20</v>
      </c>
      <c r="H104" s="15" t="s">
        <v>75</v>
      </c>
      <c r="I104" s="26" t="str">
        <f>IF(G104="","",IFERROR(VLOOKUP(G104,Listas!$D$2:$E$23,2,FALSE),""))</f>
        <v>Pablo Velasco</v>
      </c>
      <c r="J104" s="26" t="s">
        <v>293</v>
      </c>
      <c r="K104" s="26"/>
      <c r="L104" s="26"/>
      <c r="M104" s="27">
        <f t="shared" si="12"/>
        <v>46167</v>
      </c>
      <c r="N104" s="26" t="str">
        <f t="shared" ca="1" si="13"/>
        <v>CERRADO</v>
      </c>
      <c r="O104" s="26"/>
      <c r="P104" s="84" t="str">
        <f>IFERROR(VLOOKUP(G104,Listas!$I$2:$J$23,2,FALSE),"")</f>
        <v>'Listas'!$M$2:$M$19</v>
      </c>
    </row>
    <row r="105" spans="1:16">
      <c r="A105" s="26">
        <v>103</v>
      </c>
      <c r="B105" s="27">
        <v>46162</v>
      </c>
      <c r="C105" s="20" t="s">
        <v>23</v>
      </c>
      <c r="D105" s="26" t="s">
        <v>271</v>
      </c>
      <c r="E105" s="26" t="s">
        <v>294</v>
      </c>
      <c r="F105" s="26"/>
      <c r="G105" s="26" t="s">
        <v>69</v>
      </c>
      <c r="H105" s="1" t="s">
        <v>221</v>
      </c>
      <c r="I105" s="26" t="str">
        <f>IF(G105="","",IFERROR(VLOOKUP(G105,Listas!$D$2:$E$23,2,FALSE),""))</f>
        <v>Edison Lema</v>
      </c>
      <c r="J105" s="26" t="s">
        <v>274</v>
      </c>
      <c r="K105" s="26"/>
      <c r="L105" s="26"/>
      <c r="M105" s="27">
        <f t="shared" si="12"/>
        <v>46167</v>
      </c>
      <c r="N105" s="26" t="str">
        <f t="shared" ca="1" si="13"/>
        <v>CERRADO</v>
      </c>
      <c r="O105" s="26"/>
      <c r="P105" s="84" t="str">
        <f>IFERROR(VLOOKUP(G105,Listas!$I$2:$J$23,2,FALSE),"")</f>
        <v>'Listas'!$R$2:$R$16</v>
      </c>
    </row>
    <row r="106" spans="1:16">
      <c r="A106" s="26">
        <v>104</v>
      </c>
      <c r="B106" s="27">
        <v>46163</v>
      </c>
      <c r="C106" s="20" t="s">
        <v>23</v>
      </c>
      <c r="D106" s="26" t="s">
        <v>295</v>
      </c>
      <c r="E106" s="26" t="s">
        <v>279</v>
      </c>
      <c r="F106" s="26"/>
      <c r="G106" s="26" t="s">
        <v>54</v>
      </c>
      <c r="H106" s="15" t="s">
        <v>54</v>
      </c>
      <c r="I106" s="26" t="str">
        <f>IF(G106="","",IFERROR(VLOOKUP(G106,Listas!$D$2:$E$23,2,FALSE),""))</f>
        <v>Daniel Espinoza</v>
      </c>
      <c r="J106" s="26" t="s">
        <v>296</v>
      </c>
      <c r="K106" s="26"/>
      <c r="L106" s="26"/>
      <c r="M106" s="27">
        <f t="shared" si="12"/>
        <v>46168</v>
      </c>
      <c r="N106" s="26" t="str">
        <f t="shared" ca="1" si="13"/>
        <v>CERRADO</v>
      </c>
      <c r="O106" s="26"/>
      <c r="P106" s="84" t="str">
        <f>IFERROR(VLOOKUP(G106,Listas!$I$2:$J$23,2,FALSE),"")</f>
        <v>'Listas'!$O$2:$O$15</v>
      </c>
    </row>
    <row r="107" spans="1:16">
      <c r="A107" s="26">
        <v>105</v>
      </c>
      <c r="B107" s="27">
        <v>46164</v>
      </c>
      <c r="C107" s="20" t="s">
        <v>23</v>
      </c>
      <c r="D107" s="26" t="s">
        <v>297</v>
      </c>
      <c r="E107" s="26" t="s">
        <v>298</v>
      </c>
      <c r="F107" s="26"/>
      <c r="G107" s="26" t="s">
        <v>30</v>
      </c>
      <c r="H107" s="15" t="s">
        <v>30</v>
      </c>
      <c r="I107" s="26" t="str">
        <f>IF(G107="","",IFERROR(VLOOKUP(G107,Listas!$D$2:$E$23,2,FALSE),""))</f>
        <v>Brian Sarzosa</v>
      </c>
      <c r="J107" s="26" t="s">
        <v>299</v>
      </c>
      <c r="K107" s="26"/>
      <c r="L107" s="26"/>
      <c r="M107" s="27">
        <f t="shared" si="12"/>
        <v>46169</v>
      </c>
      <c r="N107" s="26" t="str">
        <f t="shared" ca="1" si="13"/>
        <v>CERRADO</v>
      </c>
      <c r="O107" s="26"/>
      <c r="P107" s="84" t="str">
        <f>IFERROR(VLOOKUP(G107,Listas!$I$2:$J$23,2,FALSE),"")</f>
        <v>'Listas'!$N$2:$N$17</v>
      </c>
    </row>
    <row r="108" spans="1:16">
      <c r="A108" s="26">
        <v>106</v>
      </c>
      <c r="B108" s="27">
        <v>46164</v>
      </c>
      <c r="C108" s="20" t="s">
        <v>23</v>
      </c>
      <c r="D108" s="26" t="s">
        <v>297</v>
      </c>
      <c r="E108" s="26" t="s">
        <v>298</v>
      </c>
      <c r="F108" s="26"/>
      <c r="G108" s="26" t="s">
        <v>30</v>
      </c>
      <c r="H108" s="15" t="s">
        <v>300</v>
      </c>
      <c r="I108" s="26" t="str">
        <f>IF(G108="","",IFERROR(VLOOKUP(G108,Listas!$D$2:$E$23,2,FALSE),""))</f>
        <v>Brian Sarzosa</v>
      </c>
      <c r="J108" s="26" t="s">
        <v>301</v>
      </c>
      <c r="K108" s="26"/>
      <c r="L108" s="26"/>
      <c r="M108" s="27">
        <f t="shared" si="12"/>
        <v>46169</v>
      </c>
      <c r="N108" s="26" t="str">
        <f t="shared" ca="1" si="13"/>
        <v>CERRADO</v>
      </c>
      <c r="O108" s="26"/>
      <c r="P108" s="84" t="str">
        <f>IFERROR(VLOOKUP(G108,Listas!$I$2:$J$23,2,FALSE),"")</f>
        <v>'Listas'!$N$2:$N$17</v>
      </c>
    </row>
    <row r="109" spans="1:16">
      <c r="A109" s="26">
        <v>107</v>
      </c>
      <c r="B109" s="27">
        <v>46165</v>
      </c>
      <c r="C109" s="20" t="s">
        <v>23</v>
      </c>
      <c r="D109" s="26" t="s">
        <v>302</v>
      </c>
      <c r="E109" s="26" t="s">
        <v>290</v>
      </c>
      <c r="F109" s="26"/>
      <c r="G109" s="26" t="s">
        <v>54</v>
      </c>
      <c r="H109" s="15" t="s">
        <v>273</v>
      </c>
      <c r="I109" s="26" t="str">
        <f>IF(G109="","",IFERROR(VLOOKUP(G109,Listas!$D$2:$E$23,2,FALSE),""))</f>
        <v>Daniel Espinoza</v>
      </c>
      <c r="J109" s="26" t="s">
        <v>303</v>
      </c>
      <c r="K109" s="26"/>
      <c r="L109" s="26"/>
      <c r="M109" s="27">
        <f t="shared" si="12"/>
        <v>46170</v>
      </c>
      <c r="N109" s="26" t="str">
        <f t="shared" ca="1" si="13"/>
        <v>CERRADO</v>
      </c>
      <c r="O109" s="26"/>
      <c r="P109" s="84" t="str">
        <f>IFERROR(VLOOKUP(G109,Listas!$I$2:$J$23,2,FALSE),"")</f>
        <v>'Listas'!$O$2:$O$15</v>
      </c>
    </row>
    <row r="110" spans="1:16">
      <c r="A110" s="26">
        <v>108</v>
      </c>
      <c r="B110" s="27">
        <v>46165</v>
      </c>
      <c r="C110" s="20" t="s">
        <v>23</v>
      </c>
      <c r="D110" s="26" t="s">
        <v>304</v>
      </c>
      <c r="E110" s="26" t="s">
        <v>305</v>
      </c>
      <c r="F110" s="26"/>
      <c r="G110" s="26" t="s">
        <v>57</v>
      </c>
      <c r="H110" s="15" t="s">
        <v>58</v>
      </c>
      <c r="I110" s="26" t="str">
        <f>IF(G110="","",IFERROR(VLOOKUP(G110,Listas!$D$2:$E$23,2,FALSE),""))</f>
        <v>Mario Guamán</v>
      </c>
      <c r="J110" s="26" t="s">
        <v>306</v>
      </c>
      <c r="K110" s="26"/>
      <c r="L110" s="26"/>
      <c r="M110" s="27">
        <f t="shared" si="12"/>
        <v>46170</v>
      </c>
      <c r="N110" s="26" t="str">
        <f t="shared" ca="1" si="13"/>
        <v>CERRADO</v>
      </c>
      <c r="O110" s="26"/>
      <c r="P110" s="84" t="str">
        <f>IFERROR(VLOOKUP(G110,Listas!$I$2:$J$23,2,FALSE),"")</f>
        <v>'Listas'!$P$2:$P$16</v>
      </c>
    </row>
    <row r="111" spans="1:16">
      <c r="A111" s="26">
        <v>109</v>
      </c>
      <c r="B111" s="27">
        <v>46168</v>
      </c>
      <c r="C111" s="20" t="s">
        <v>23</v>
      </c>
      <c r="D111" s="26" t="s">
        <v>307</v>
      </c>
      <c r="E111" s="26" t="s">
        <v>294</v>
      </c>
      <c r="F111" s="26"/>
      <c r="G111" s="26" t="s">
        <v>30</v>
      </c>
      <c r="H111" s="1" t="s">
        <v>221</v>
      </c>
      <c r="I111" s="26" t="str">
        <f>IF(G111="","",IFERROR(VLOOKUP(G111,Listas!$D$2:$E$23,2,FALSE),""))</f>
        <v>Brian Sarzosa</v>
      </c>
      <c r="J111" s="26" t="s">
        <v>274</v>
      </c>
      <c r="K111" s="26"/>
      <c r="L111" s="26"/>
      <c r="M111" s="27">
        <f t="shared" si="12"/>
        <v>46173</v>
      </c>
      <c r="N111" s="26" t="str">
        <f t="shared" ca="1" si="13"/>
        <v>CERRADO</v>
      </c>
      <c r="O111" s="26"/>
      <c r="P111" s="84" t="str">
        <f>IFERROR(VLOOKUP(G111,Listas!$I$2:$J$23,2,FALSE),"")</f>
        <v>'Listas'!$N$2:$N$17</v>
      </c>
    </row>
    <row r="112" spans="1:16">
      <c r="A112" s="26">
        <v>110</v>
      </c>
      <c r="B112" s="27">
        <v>46150</v>
      </c>
      <c r="C112" s="20" t="s">
        <v>23</v>
      </c>
      <c r="D112" s="26" t="s">
        <v>308</v>
      </c>
      <c r="E112" s="26" t="s">
        <v>290</v>
      </c>
      <c r="F112" s="26"/>
      <c r="G112" s="26" t="s">
        <v>52</v>
      </c>
      <c r="H112" s="15" t="s">
        <v>309</v>
      </c>
      <c r="I112" s="26" t="str">
        <f>IF(G112="","",IFERROR(VLOOKUP(G112,Listas!$D$2:$E$23,2,FALSE),""))</f>
        <v>André Cobo</v>
      </c>
      <c r="J112" s="26" t="s">
        <v>310</v>
      </c>
      <c r="K112" s="26"/>
      <c r="L112" s="26"/>
      <c r="M112" s="27">
        <f t="shared" si="12"/>
        <v>46155</v>
      </c>
      <c r="N112" s="26" t="str">
        <f t="shared" ca="1" si="13"/>
        <v>CERRADO</v>
      </c>
      <c r="O112" s="26"/>
      <c r="P112" s="84" t="str">
        <f>IFERROR(VLOOKUP(G112,Listas!$I$2:$J$23,2,FALSE),"")</f>
        <v>'Listas'!$K$7:$K$7</v>
      </c>
    </row>
    <row r="113" spans="1:16">
      <c r="A113" s="26">
        <v>111</v>
      </c>
      <c r="B113" s="27">
        <v>46161</v>
      </c>
      <c r="C113" s="20" t="s">
        <v>16</v>
      </c>
      <c r="D113" s="26" t="s">
        <v>311</v>
      </c>
      <c r="E113" s="26" t="s">
        <v>305</v>
      </c>
      <c r="F113" s="26"/>
      <c r="G113" s="26" t="s">
        <v>52</v>
      </c>
      <c r="H113" s="15" t="s">
        <v>312</v>
      </c>
      <c r="I113" s="26" t="str">
        <f>IF(G113="","",IFERROR(VLOOKUP(G113,Listas!$D$2:$E$23,2,FALSE),""))</f>
        <v>André Cobo</v>
      </c>
      <c r="J113" s="26" t="s">
        <v>293</v>
      </c>
      <c r="K113" s="26"/>
      <c r="L113" s="26"/>
      <c r="M113" s="27">
        <f t="shared" si="12"/>
        <v>46166</v>
      </c>
      <c r="N113" s="26" t="str">
        <f t="shared" ca="1" si="13"/>
        <v>CERRADO</v>
      </c>
      <c r="O113" s="26"/>
      <c r="P113" s="84" t="str">
        <f>IFERROR(VLOOKUP(G113,Listas!$I$2:$J$23,2,FALSE),"")</f>
        <v>'Listas'!$K$7:$K$7</v>
      </c>
    </row>
    <row r="114" spans="1:16">
      <c r="A114" s="26">
        <v>112</v>
      </c>
      <c r="B114" s="27">
        <v>46165</v>
      </c>
      <c r="C114" s="20" t="s">
        <v>16</v>
      </c>
      <c r="D114" s="26" t="s">
        <v>313</v>
      </c>
      <c r="E114" s="26" t="s">
        <v>314</v>
      </c>
      <c r="F114" s="26"/>
      <c r="G114" s="26" t="s">
        <v>20</v>
      </c>
      <c r="H114" s="15" t="s">
        <v>157</v>
      </c>
      <c r="I114" s="26" t="str">
        <f>IF(G114="","",IFERROR(VLOOKUP(G114,Listas!$D$2:$E$23,2,FALSE),""))</f>
        <v>Pablo Velasco</v>
      </c>
      <c r="J114" s="26" t="s">
        <v>315</v>
      </c>
      <c r="K114" s="26"/>
      <c r="L114" s="26"/>
      <c r="M114" s="27">
        <f t="shared" si="12"/>
        <v>46170</v>
      </c>
      <c r="N114" s="26" t="str">
        <f t="shared" ca="1" si="13"/>
        <v>CERRADO</v>
      </c>
      <c r="O114" s="26"/>
      <c r="P114" s="84" t="str">
        <f>IFERROR(VLOOKUP(G114,Listas!$I$2:$J$23,2,FALSE),"")</f>
        <v>'Listas'!$M$2:$M$19</v>
      </c>
    </row>
    <row r="115" spans="1:16">
      <c r="A115" s="26">
        <v>113</v>
      </c>
      <c r="B115" s="27">
        <v>46165</v>
      </c>
      <c r="C115" s="20" t="s">
        <v>16</v>
      </c>
      <c r="D115" s="26" t="s">
        <v>316</v>
      </c>
      <c r="E115" s="26" t="s">
        <v>314</v>
      </c>
      <c r="F115" s="26"/>
      <c r="G115" s="26" t="s">
        <v>20</v>
      </c>
      <c r="H115" s="15" t="s">
        <v>157</v>
      </c>
      <c r="I115" s="26" t="str">
        <f>IF(G115="","",IFERROR(VLOOKUP(G115,Listas!$D$2:$E$23,2,FALSE),""))</f>
        <v>Pablo Velasco</v>
      </c>
      <c r="J115" s="26" t="s">
        <v>315</v>
      </c>
      <c r="K115" s="26"/>
      <c r="L115" s="26"/>
      <c r="M115" s="27">
        <f t="shared" si="12"/>
        <v>46170</v>
      </c>
      <c r="N115" s="26" t="str">
        <f t="shared" ca="1" si="13"/>
        <v>CERRADO</v>
      </c>
      <c r="O115" s="26"/>
      <c r="P115" s="84" t="str">
        <f>IFERROR(VLOOKUP(G115,Listas!$I$2:$J$23,2,FALSE),"")</f>
        <v>'Listas'!$M$2:$M$19</v>
      </c>
    </row>
    <row r="116" spans="1:16">
      <c r="A116" s="26">
        <v>114</v>
      </c>
      <c r="B116" s="27">
        <v>46164</v>
      </c>
      <c r="C116" s="20" t="s">
        <v>16</v>
      </c>
      <c r="D116" s="26" t="s">
        <v>317</v>
      </c>
      <c r="E116" s="26" t="s">
        <v>245</v>
      </c>
      <c r="F116" s="26"/>
      <c r="G116" s="26" t="s">
        <v>69</v>
      </c>
      <c r="H116" s="15" t="s">
        <v>221</v>
      </c>
      <c r="I116" s="26" t="str">
        <f>IF(G116="","",IFERROR(VLOOKUP(G116,Listas!$D$2:$E$23,2,FALSE),""))</f>
        <v>Edison Lema</v>
      </c>
      <c r="J116" s="26" t="s">
        <v>318</v>
      </c>
      <c r="K116" s="26"/>
      <c r="L116" s="26"/>
      <c r="M116" s="27">
        <f t="shared" si="12"/>
        <v>46169</v>
      </c>
      <c r="N116" s="26" t="str">
        <f t="shared" ca="1" si="13"/>
        <v>CERRADO</v>
      </c>
      <c r="O116" s="26"/>
      <c r="P116" s="84" t="str">
        <f>IFERROR(VLOOKUP(G116,Listas!$I$2:$J$23,2,FALSE),"")</f>
        <v>'Listas'!$R$2:$R$16</v>
      </c>
    </row>
    <row r="117" spans="1:16">
      <c r="A117" s="26">
        <v>115</v>
      </c>
      <c r="B117" s="27">
        <v>46161</v>
      </c>
      <c r="C117" s="20" t="s">
        <v>23</v>
      </c>
      <c r="D117" s="26" t="s">
        <v>319</v>
      </c>
      <c r="E117" s="26" t="s">
        <v>320</v>
      </c>
      <c r="F117" s="26"/>
      <c r="G117" s="26" t="s">
        <v>57</v>
      </c>
      <c r="H117" s="15" t="s">
        <v>58</v>
      </c>
      <c r="I117" s="26" t="str">
        <f>IF(G117="","",IFERROR(VLOOKUP(G117,Listas!$D$2:$E$23,2,FALSE),""))</f>
        <v>Mario Guamán</v>
      </c>
      <c r="J117" s="26" t="s">
        <v>321</v>
      </c>
      <c r="K117" s="26"/>
      <c r="L117" s="26"/>
      <c r="M117" s="27">
        <f t="shared" si="12"/>
        <v>46166</v>
      </c>
      <c r="N117" s="26" t="str">
        <f t="shared" ca="1" si="13"/>
        <v>CERRADO</v>
      </c>
      <c r="O117" s="26"/>
      <c r="P117" s="84" t="str">
        <f>IFERROR(VLOOKUP(G117,Listas!$I$2:$J$23,2,FALSE),"")</f>
        <v>'Listas'!$P$2:$P$16</v>
      </c>
    </row>
    <row r="118" spans="1:16">
      <c r="A118" s="26">
        <v>116</v>
      </c>
      <c r="B118" s="27">
        <v>46161</v>
      </c>
      <c r="C118" s="20" t="s">
        <v>23</v>
      </c>
      <c r="D118" s="26" t="s">
        <v>322</v>
      </c>
      <c r="E118" s="26" t="s">
        <v>320</v>
      </c>
      <c r="F118" s="26"/>
      <c r="G118" s="26" t="s">
        <v>57</v>
      </c>
      <c r="H118" s="15" t="s">
        <v>58</v>
      </c>
      <c r="I118" s="26" t="str">
        <f>IF(G118="","",IFERROR(VLOOKUP(G118,Listas!$D$2:$E$23,2,FALSE),""))</f>
        <v>Mario Guamán</v>
      </c>
      <c r="J118" s="26" t="s">
        <v>323</v>
      </c>
      <c r="K118" s="26"/>
      <c r="L118" s="26"/>
      <c r="M118" s="27">
        <f t="shared" si="12"/>
        <v>46166</v>
      </c>
      <c r="N118" s="26" t="str">
        <f t="shared" ca="1" si="13"/>
        <v>CERRADO</v>
      </c>
      <c r="O118" s="26"/>
      <c r="P118" s="84" t="str">
        <f>IFERROR(VLOOKUP(G118,Listas!$I$2:$J$23,2,FALSE),"")</f>
        <v>'Listas'!$P$2:$P$16</v>
      </c>
    </row>
    <row r="119" spans="1:16">
      <c r="A119" s="26">
        <v>117</v>
      </c>
      <c r="B119" s="27">
        <v>46161</v>
      </c>
      <c r="C119" s="20" t="s">
        <v>23</v>
      </c>
      <c r="D119" s="26" t="s">
        <v>324</v>
      </c>
      <c r="E119" s="26" t="s">
        <v>325</v>
      </c>
      <c r="F119" s="26"/>
      <c r="G119" s="26" t="s">
        <v>54</v>
      </c>
      <c r="H119" s="15" t="s">
        <v>54</v>
      </c>
      <c r="I119" s="26" t="str">
        <f>IF(G119="","",IFERROR(VLOOKUP(G119,Listas!$D$2:$E$23,2,FALSE),""))</f>
        <v>Daniel Espinoza</v>
      </c>
      <c r="J119" s="26" t="s">
        <v>326</v>
      </c>
      <c r="K119" s="26"/>
      <c r="L119" s="26"/>
      <c r="M119" s="27">
        <f t="shared" si="12"/>
        <v>46166</v>
      </c>
      <c r="N119" s="26" t="str">
        <f t="shared" ca="1" si="13"/>
        <v>CERRADO</v>
      </c>
      <c r="O119" s="26"/>
      <c r="P119" s="84" t="str">
        <f>IFERROR(VLOOKUP(G119,Listas!$I$2:$J$23,2,FALSE),"")</f>
        <v>'Listas'!$O$2:$O$15</v>
      </c>
    </row>
    <row r="120" spans="1:16">
      <c r="A120" s="26">
        <v>118</v>
      </c>
      <c r="B120" s="27">
        <v>46161</v>
      </c>
      <c r="C120" s="20" t="s">
        <v>23</v>
      </c>
      <c r="D120" s="26" t="s">
        <v>327</v>
      </c>
      <c r="E120" s="26" t="s">
        <v>328</v>
      </c>
      <c r="F120" s="26"/>
      <c r="G120" s="26" t="s">
        <v>54</v>
      </c>
      <c r="H120" s="15" t="s">
        <v>54</v>
      </c>
      <c r="I120" s="26" t="str">
        <f>IF(G120="","",IFERROR(VLOOKUP(G120,Listas!$D$2:$E$23,2,FALSE),""))</f>
        <v>Daniel Espinoza</v>
      </c>
      <c r="J120" s="26" t="s">
        <v>329</v>
      </c>
      <c r="K120" s="26"/>
      <c r="L120" s="26"/>
      <c r="M120" s="27">
        <f t="shared" si="12"/>
        <v>46166</v>
      </c>
      <c r="N120" s="26" t="str">
        <f t="shared" ca="1" si="13"/>
        <v>CERRADO</v>
      </c>
      <c r="O120" s="26"/>
      <c r="P120" s="84" t="str">
        <f>IFERROR(VLOOKUP(G120,Listas!$I$2:$J$23,2,FALSE),"")</f>
        <v>'Listas'!$O$2:$O$15</v>
      </c>
    </row>
    <row r="121" spans="1:16">
      <c r="A121" s="26">
        <v>119</v>
      </c>
      <c r="B121" s="8">
        <v>46160</v>
      </c>
      <c r="C121" s="20" t="s">
        <v>23</v>
      </c>
      <c r="D121" s="7" t="s">
        <v>330</v>
      </c>
      <c r="E121" s="7" t="s">
        <v>279</v>
      </c>
      <c r="F121" s="7"/>
      <c r="G121" s="26" t="s">
        <v>20</v>
      </c>
      <c r="H121" s="15" t="s">
        <v>75</v>
      </c>
      <c r="I121" s="7" t="str">
        <f>IF(G121="","",IFERROR(VLOOKUP(G121,Listas!$D$2:$E$23,2,FALSE),""))</f>
        <v>Pablo Velasco</v>
      </c>
      <c r="J121" s="7" t="s">
        <v>331</v>
      </c>
      <c r="K121" s="26"/>
      <c r="L121" s="8">
        <f>B121</f>
        <v>46160</v>
      </c>
      <c r="M121" s="8">
        <f>B121</f>
        <v>46160</v>
      </c>
      <c r="N121" s="10" t="str">
        <f ca="1">IF(M121&lt;&gt;"","CERRADO",IF(L121&gt;TODAY(),"EN PROCESO",IF(M121="","ABIERTO")))</f>
        <v>CERRADO</v>
      </c>
      <c r="O121" s="7"/>
      <c r="P121" s="84" t="str">
        <f>IFERROR(VLOOKUP(G121,Listas!$I$2:$J$23,2,FALSE),"")</f>
        <v>'Listas'!$M$2:$M$19</v>
      </c>
    </row>
    <row r="122" spans="1:16">
      <c r="A122" s="26">
        <v>120</v>
      </c>
      <c r="B122" s="27">
        <v>46160</v>
      </c>
      <c r="C122" s="20" t="s">
        <v>23</v>
      </c>
      <c r="D122" s="26" t="s">
        <v>332</v>
      </c>
      <c r="E122" s="26" t="s">
        <v>290</v>
      </c>
      <c r="F122" s="26"/>
      <c r="G122" s="26" t="s">
        <v>20</v>
      </c>
      <c r="H122" s="15" t="s">
        <v>157</v>
      </c>
      <c r="I122" s="26" t="str">
        <f>IF(G122="","",IFERROR(VLOOKUP(G122,Listas!$D$2:$E$23,2,FALSE),""))</f>
        <v>Pablo Velasco</v>
      </c>
      <c r="J122" s="26" t="s">
        <v>333</v>
      </c>
      <c r="K122" s="26"/>
      <c r="L122" s="26"/>
      <c r="M122" s="27">
        <f t="shared" ref="M122:M127" si="14">B122+5</f>
        <v>46165</v>
      </c>
      <c r="N122" s="26" t="str">
        <f t="shared" ref="N122:N127" ca="1" si="15">IF(M122&lt;TODAY(),"CERRADO","ABIERTO")</f>
        <v>CERRADO</v>
      </c>
      <c r="O122" s="26"/>
      <c r="P122" s="84" t="str">
        <f>IFERROR(VLOOKUP(G122,Listas!$I$2:$J$23,2,FALSE),"")</f>
        <v>'Listas'!$M$2:$M$19</v>
      </c>
    </row>
    <row r="123" spans="1:16">
      <c r="A123" s="26">
        <v>121</v>
      </c>
      <c r="B123" s="27">
        <v>46160</v>
      </c>
      <c r="C123" s="20" t="s">
        <v>23</v>
      </c>
      <c r="D123" s="26" t="s">
        <v>334</v>
      </c>
      <c r="E123" s="26" t="s">
        <v>279</v>
      </c>
      <c r="F123" s="26"/>
      <c r="G123" s="26" t="s">
        <v>20</v>
      </c>
      <c r="H123" s="15" t="s">
        <v>157</v>
      </c>
      <c r="I123" s="26" t="str">
        <f>IF(G123="","",IFERROR(VLOOKUP(G123,Listas!$D$2:$E$23,2,FALSE),""))</f>
        <v>Pablo Velasco</v>
      </c>
      <c r="J123" s="26" t="s">
        <v>335</v>
      </c>
      <c r="K123" s="26"/>
      <c r="L123" s="26"/>
      <c r="M123" s="27">
        <f t="shared" si="14"/>
        <v>46165</v>
      </c>
      <c r="N123" s="26" t="str">
        <f t="shared" ca="1" si="15"/>
        <v>CERRADO</v>
      </c>
      <c r="O123" s="26"/>
      <c r="P123" s="84" t="str">
        <f>IFERROR(VLOOKUP(G123,Listas!$I$2:$J$23,2,FALSE),"")</f>
        <v>'Listas'!$M$2:$M$19</v>
      </c>
    </row>
    <row r="124" spans="1:16">
      <c r="A124" s="26">
        <v>122</v>
      </c>
      <c r="B124" s="27">
        <v>46163</v>
      </c>
      <c r="C124" s="20" t="s">
        <v>23</v>
      </c>
      <c r="D124" s="26" t="s">
        <v>336</v>
      </c>
      <c r="E124" s="26" t="s">
        <v>279</v>
      </c>
      <c r="F124" s="26"/>
      <c r="G124" s="26" t="s">
        <v>57</v>
      </c>
      <c r="H124" s="15" t="s">
        <v>57</v>
      </c>
      <c r="I124" s="26" t="str">
        <f>IF(G124="","",IFERROR(VLOOKUP(G124,Listas!$D$2:$E$23,2,FALSE),""))</f>
        <v>Mario Guamán</v>
      </c>
      <c r="J124" s="26" t="s">
        <v>337</v>
      </c>
      <c r="K124" s="26"/>
      <c r="L124" s="26"/>
      <c r="M124" s="27">
        <f t="shared" si="14"/>
        <v>46168</v>
      </c>
      <c r="N124" s="26" t="str">
        <f t="shared" ca="1" si="15"/>
        <v>CERRADO</v>
      </c>
      <c r="O124" s="26"/>
      <c r="P124" s="84" t="str">
        <f>IFERROR(VLOOKUP(G124,Listas!$I$2:$J$23,2,FALSE),"")</f>
        <v>'Listas'!$P$2:$P$16</v>
      </c>
    </row>
    <row r="125" spans="1:16">
      <c r="A125" s="26">
        <v>123</v>
      </c>
      <c r="B125" s="27">
        <v>46163</v>
      </c>
      <c r="C125" s="20" t="s">
        <v>23</v>
      </c>
      <c r="D125" s="26" t="s">
        <v>334</v>
      </c>
      <c r="E125" s="26" t="s">
        <v>279</v>
      </c>
      <c r="F125" s="26"/>
      <c r="G125" s="26" t="s">
        <v>57</v>
      </c>
      <c r="H125" s="15" t="s">
        <v>57</v>
      </c>
      <c r="I125" s="26" t="str">
        <f>IF(G125="","",IFERROR(VLOOKUP(G125,Listas!$D$2:$E$23,2,FALSE),""))</f>
        <v>Mario Guamán</v>
      </c>
      <c r="J125" s="26" t="s">
        <v>335</v>
      </c>
      <c r="K125" s="26"/>
      <c r="L125" s="26"/>
      <c r="M125" s="27">
        <f t="shared" si="14"/>
        <v>46168</v>
      </c>
      <c r="N125" s="26" t="str">
        <f t="shared" ca="1" si="15"/>
        <v>CERRADO</v>
      </c>
      <c r="O125" s="26"/>
      <c r="P125" s="84" t="str">
        <f>IFERROR(VLOOKUP(G125,Listas!$I$2:$J$23,2,FALSE),"")</f>
        <v>'Listas'!$P$2:$P$16</v>
      </c>
    </row>
    <row r="126" spans="1:16">
      <c r="A126" s="26">
        <v>124</v>
      </c>
      <c r="B126" s="27">
        <v>46163</v>
      </c>
      <c r="C126" s="20" t="s">
        <v>23</v>
      </c>
      <c r="D126" s="26" t="s">
        <v>338</v>
      </c>
      <c r="E126" s="26" t="s">
        <v>279</v>
      </c>
      <c r="F126" s="26"/>
      <c r="G126" s="26" t="s">
        <v>57</v>
      </c>
      <c r="H126" s="15" t="s">
        <v>57</v>
      </c>
      <c r="I126" s="26" t="str">
        <f>IF(G126="","",IFERROR(VLOOKUP(G126,Listas!$D$2:$E$23,2,FALSE),""))</f>
        <v>Mario Guamán</v>
      </c>
      <c r="J126" s="26" t="s">
        <v>337</v>
      </c>
      <c r="K126" s="26"/>
      <c r="L126" s="26"/>
      <c r="M126" s="27">
        <f t="shared" si="14"/>
        <v>46168</v>
      </c>
      <c r="N126" s="26" t="str">
        <f t="shared" ca="1" si="15"/>
        <v>CERRADO</v>
      </c>
      <c r="O126" s="26"/>
      <c r="P126" s="84" t="str">
        <f>IFERROR(VLOOKUP(G126,Listas!$I$2:$J$23,2,FALSE),"")</f>
        <v>'Listas'!$P$2:$P$16</v>
      </c>
    </row>
    <row r="127" spans="1:16" ht="12.75" customHeight="1">
      <c r="A127" s="26">
        <v>125</v>
      </c>
      <c r="B127" s="27">
        <v>46163</v>
      </c>
      <c r="C127" s="20" t="s">
        <v>23</v>
      </c>
      <c r="D127" s="26" t="s">
        <v>339</v>
      </c>
      <c r="E127" s="26" t="s">
        <v>340</v>
      </c>
      <c r="F127" s="26"/>
      <c r="G127" s="26" t="s">
        <v>57</v>
      </c>
      <c r="H127" s="15" t="s">
        <v>58</v>
      </c>
      <c r="I127" s="26" t="str">
        <f>IF(G127="","",IFERROR(VLOOKUP(G127,Listas!$D$2:$E$23,2,FALSE),""))</f>
        <v>Mario Guamán</v>
      </c>
      <c r="J127" s="26" t="s">
        <v>341</v>
      </c>
      <c r="K127" s="26"/>
      <c r="L127" s="26"/>
      <c r="M127" s="27">
        <f t="shared" si="14"/>
        <v>46168</v>
      </c>
      <c r="N127" s="26" t="str">
        <f t="shared" ca="1" si="15"/>
        <v>CERRADO</v>
      </c>
      <c r="O127" s="26"/>
      <c r="P127" s="84" t="str">
        <f>IFERROR(VLOOKUP(G127,Listas!$I$2:$J$23,2,FALSE),"")</f>
        <v>'Listas'!$P$2:$P$16</v>
      </c>
    </row>
    <row r="128" spans="1:16" ht="6.75" customHeight="1">
      <c r="A128" s="26">
        <v>126</v>
      </c>
      <c r="B128" s="8">
        <v>46163</v>
      </c>
      <c r="C128" s="20" t="s">
        <v>23</v>
      </c>
      <c r="D128" s="7" t="s">
        <v>342</v>
      </c>
      <c r="E128" s="7" t="s">
        <v>279</v>
      </c>
      <c r="F128" s="7"/>
      <c r="G128" s="26" t="s">
        <v>57</v>
      </c>
      <c r="H128" s="15" t="s">
        <v>58</v>
      </c>
      <c r="I128" s="7" t="str">
        <f>IF(G128="","",IFERROR(VLOOKUP(G128,Listas!$D$2:$E$23,2,FALSE),""))</f>
        <v>Mario Guamán</v>
      </c>
      <c r="J128" s="7" t="s">
        <v>337</v>
      </c>
      <c r="K128" s="26"/>
      <c r="L128" s="8">
        <v>46388</v>
      </c>
      <c r="M128" s="8"/>
      <c r="N128" s="10" t="str">
        <f t="shared" ref="N128:N129" ca="1" si="16">IF(M128&lt;&gt;"","CERRADO",IF(L128&gt;TODAY(),"EN PROCESO",IF(M128="","ABIERTO")))</f>
        <v>EN PROCESO</v>
      </c>
      <c r="O128" s="7"/>
      <c r="P128" s="84" t="str">
        <f>IFERROR(VLOOKUP(G128,Listas!$I$2:$J$23,2,FALSE),"")</f>
        <v>'Listas'!$P$2:$P$16</v>
      </c>
    </row>
    <row r="129" spans="1:16" ht="8.85" customHeight="1">
      <c r="A129" s="26">
        <v>127</v>
      </c>
      <c r="B129" s="8">
        <v>46163</v>
      </c>
      <c r="C129" s="20" t="s">
        <v>23</v>
      </c>
      <c r="D129" s="7" t="s">
        <v>343</v>
      </c>
      <c r="E129" s="7" t="s">
        <v>344</v>
      </c>
      <c r="F129" s="7"/>
      <c r="G129" s="26" t="s">
        <v>57</v>
      </c>
      <c r="H129" s="15" t="s">
        <v>345</v>
      </c>
      <c r="I129" s="7" t="str">
        <f>IF(G129="","",IFERROR(VLOOKUP(G129,Listas!$D$2:$E$23,2,FALSE),""))</f>
        <v>Mario Guamán</v>
      </c>
      <c r="J129" s="7" t="s">
        <v>346</v>
      </c>
      <c r="K129" s="26"/>
      <c r="L129" s="8">
        <v>46248</v>
      </c>
      <c r="M129" s="8"/>
      <c r="N129" s="10" t="str">
        <f t="shared" ca="1" si="16"/>
        <v>EN PROCESO</v>
      </c>
      <c r="O129" s="7"/>
      <c r="P129" s="84" t="str">
        <f>IFERROR(VLOOKUP(G129,Listas!$I$2:$J$23,2,FALSE),"")</f>
        <v>'Listas'!$P$2:$P$16</v>
      </c>
    </row>
    <row r="130" spans="1:16">
      <c r="A130" s="26">
        <v>128</v>
      </c>
      <c r="B130" s="27">
        <v>46163</v>
      </c>
      <c r="C130" s="20" t="s">
        <v>23</v>
      </c>
      <c r="D130" s="26" t="s">
        <v>347</v>
      </c>
      <c r="E130" s="26" t="s">
        <v>279</v>
      </c>
      <c r="F130" s="26"/>
      <c r="G130" s="26" t="s">
        <v>57</v>
      </c>
      <c r="H130" s="15" t="s">
        <v>58</v>
      </c>
      <c r="I130" s="26" t="str">
        <f>IF(G130="","",IFERROR(VLOOKUP(G130,Listas!$D$2:$E$23,2,FALSE),""))</f>
        <v>Mario Guamán</v>
      </c>
      <c r="J130" s="26" t="s">
        <v>348</v>
      </c>
      <c r="K130" s="26"/>
      <c r="L130" s="26"/>
      <c r="M130" s="27">
        <f>B130+5</f>
        <v>46168</v>
      </c>
      <c r="N130" s="26" t="str">
        <f t="shared" ref="N130" ca="1" si="17">IF(M130&lt;TODAY(),"CERRADO","ABIERTO")</f>
        <v>CERRADO</v>
      </c>
      <c r="O130" s="26"/>
      <c r="P130" s="84" t="str">
        <f>IFERROR(VLOOKUP(G130,Listas!$I$2:$J$23,2,FALSE),"")</f>
        <v>'Listas'!$P$2:$P$16</v>
      </c>
    </row>
    <row r="131" spans="1:16" s="33" customFormat="1" ht="11.25" customHeight="1">
      <c r="A131" s="26">
        <v>129</v>
      </c>
      <c r="B131" s="43">
        <v>46157</v>
      </c>
      <c r="C131" s="20" t="s">
        <v>23</v>
      </c>
      <c r="D131" s="44" t="s">
        <v>349</v>
      </c>
      <c r="E131" s="7" t="s">
        <v>77</v>
      </c>
      <c r="F131" s="12"/>
      <c r="G131" s="26" t="s">
        <v>57</v>
      </c>
      <c r="H131" s="15" t="s">
        <v>58</v>
      </c>
      <c r="I131" s="44" t="str">
        <f>IF(G131="","",IFERROR(VLOOKUP(G131,Listas!$D$2:$E$23,2,FALSE),""))</f>
        <v>Mario Guamán</v>
      </c>
      <c r="J131" s="7" t="s">
        <v>350</v>
      </c>
      <c r="K131" s="26"/>
      <c r="L131" s="13"/>
      <c r="M131" s="43"/>
      <c r="N131" s="44" t="str">
        <f t="shared" ref="N131:N132" ca="1" si="18">IF(M131&lt;&gt;"","CERRADO",IF(L131&gt;TODAY(),"EN PROCESO",IF(M131="","ABIERTO")))</f>
        <v>ABIERTO</v>
      </c>
      <c r="O131" s="44"/>
      <c r="P131" s="84" t="str">
        <f>IFERROR(VLOOKUP(G131,Listas!$I$2:$J$23,2,FALSE),"")</f>
        <v>'Listas'!$P$2:$P$16</v>
      </c>
    </row>
    <row r="132" spans="1:16" ht="9.3000000000000007" customHeight="1">
      <c r="A132" s="26">
        <v>130</v>
      </c>
      <c r="B132" s="8">
        <v>46157</v>
      </c>
      <c r="C132" s="20" t="s">
        <v>23</v>
      </c>
      <c r="D132" s="7" t="s">
        <v>351</v>
      </c>
      <c r="E132" s="7" t="s">
        <v>279</v>
      </c>
      <c r="F132" s="7"/>
      <c r="G132" s="26" t="s">
        <v>54</v>
      </c>
      <c r="H132" s="15" t="s">
        <v>352</v>
      </c>
      <c r="I132" s="7" t="str">
        <f>IF(G132="","",IFERROR(VLOOKUP(G132,Listas!$D$2:$E$23,2,FALSE),""))</f>
        <v>Daniel Espinoza</v>
      </c>
      <c r="J132" s="7" t="s">
        <v>353</v>
      </c>
      <c r="K132" s="26"/>
      <c r="L132" s="8"/>
      <c r="M132" s="8"/>
      <c r="N132" s="10" t="str">
        <f t="shared" ca="1" si="18"/>
        <v>ABIERTO</v>
      </c>
      <c r="O132" s="7"/>
      <c r="P132" s="84" t="str">
        <f>IFERROR(VLOOKUP(G132,Listas!$I$2:$J$23,2,FALSE),"")</f>
        <v>'Listas'!$O$2:$O$15</v>
      </c>
    </row>
    <row r="133" spans="1:16">
      <c r="A133" s="26">
        <v>131</v>
      </c>
      <c r="B133" s="27">
        <v>46169</v>
      </c>
      <c r="C133" s="20" t="s">
        <v>23</v>
      </c>
      <c r="D133" s="26" t="s">
        <v>354</v>
      </c>
      <c r="E133" s="26" t="s">
        <v>355</v>
      </c>
      <c r="F133" s="26"/>
      <c r="G133" s="26" t="s">
        <v>356</v>
      </c>
      <c r="H133" s="15" t="s">
        <v>356</v>
      </c>
      <c r="I133" s="26" t="str">
        <f>IF(G133="","",IFERROR(VLOOKUP(G133,Listas!$D$2:$E$23,2,FALSE),""))</f>
        <v>Pablo Arias</v>
      </c>
      <c r="J133" s="26" t="s">
        <v>357</v>
      </c>
      <c r="K133" s="26"/>
      <c r="L133" s="26"/>
      <c r="M133" s="27">
        <f t="shared" ref="M133:M140" si="19">B133+5</f>
        <v>46174</v>
      </c>
      <c r="N133" s="26" t="str">
        <f t="shared" ref="N133:N140" ca="1" si="20">IF(M133&lt;TODAY(),"CERRADO","ABIERTO")</f>
        <v>CERRADO</v>
      </c>
      <c r="O133" s="26"/>
      <c r="P133" s="84" t="str">
        <f>IFERROR(VLOOKUP(G133,Listas!$I$2:$J$23,2,FALSE),"")</f>
        <v>'Listas'!$K$20:$K$20</v>
      </c>
    </row>
    <row r="134" spans="1:16">
      <c r="A134" s="26">
        <v>132</v>
      </c>
      <c r="B134" s="27">
        <v>46168</v>
      </c>
      <c r="C134" s="20" t="s">
        <v>23</v>
      </c>
      <c r="D134" s="26" t="s">
        <v>266</v>
      </c>
      <c r="E134" s="26" t="s">
        <v>358</v>
      </c>
      <c r="F134" s="26"/>
      <c r="G134" s="26" t="s">
        <v>20</v>
      </c>
      <c r="H134" s="26" t="s">
        <v>359</v>
      </c>
      <c r="I134" s="26" t="str">
        <f>IF(G134="","",IFERROR(VLOOKUP(G134,Listas!$D$2:$E$23,2,FALSE),""))</f>
        <v>Pablo Velasco</v>
      </c>
      <c r="J134" s="26" t="s">
        <v>267</v>
      </c>
      <c r="K134" s="26"/>
      <c r="L134" s="26"/>
      <c r="M134" s="27">
        <f t="shared" si="19"/>
        <v>46173</v>
      </c>
      <c r="N134" s="26" t="str">
        <f t="shared" ca="1" si="20"/>
        <v>CERRADO</v>
      </c>
      <c r="O134" s="26"/>
      <c r="P134" s="84" t="str">
        <f>IFERROR(VLOOKUP(G134,Listas!$I$2:$J$23,2,FALSE),"")</f>
        <v>'Listas'!$M$2:$M$19</v>
      </c>
    </row>
    <row r="135" spans="1:16">
      <c r="A135" s="26">
        <v>133</v>
      </c>
      <c r="B135" s="27">
        <v>46169</v>
      </c>
      <c r="C135" s="20" t="s">
        <v>23</v>
      </c>
      <c r="D135" s="26" t="s">
        <v>360</v>
      </c>
      <c r="E135" s="26" t="s">
        <v>279</v>
      </c>
      <c r="F135" s="26"/>
      <c r="G135" s="26" t="s">
        <v>30</v>
      </c>
      <c r="H135" s="15" t="s">
        <v>300</v>
      </c>
      <c r="I135" s="26" t="str">
        <f>IF(G135="","",IFERROR(VLOOKUP(G135,Listas!$D$2:$E$23,2,FALSE),""))</f>
        <v>Brian Sarzosa</v>
      </c>
      <c r="J135" s="26" t="s">
        <v>361</v>
      </c>
      <c r="K135" s="26"/>
      <c r="L135" s="26"/>
      <c r="M135" s="27">
        <f t="shared" si="19"/>
        <v>46174</v>
      </c>
      <c r="N135" s="26" t="str">
        <f t="shared" ca="1" si="20"/>
        <v>CERRADO</v>
      </c>
      <c r="O135" s="26"/>
      <c r="P135" s="84" t="str">
        <f>IFERROR(VLOOKUP(G135,Listas!$I$2:$J$23,2,FALSE),"")</f>
        <v>'Listas'!$N$2:$N$17</v>
      </c>
    </row>
    <row r="136" spans="1:16">
      <c r="A136" s="26">
        <v>134</v>
      </c>
      <c r="B136" s="27">
        <v>46169</v>
      </c>
      <c r="C136" s="20" t="s">
        <v>23</v>
      </c>
      <c r="D136" s="26" t="s">
        <v>362</v>
      </c>
      <c r="E136" s="26" t="s">
        <v>363</v>
      </c>
      <c r="F136" s="26"/>
      <c r="G136" s="26" t="s">
        <v>30</v>
      </c>
      <c r="H136" s="15" t="s">
        <v>300</v>
      </c>
      <c r="I136" s="26" t="str">
        <f>IF(G136="","",IFERROR(VLOOKUP(G136,Listas!$D$2:$E$23,2,FALSE),""))</f>
        <v>Brian Sarzosa</v>
      </c>
      <c r="J136" s="26" t="s">
        <v>364</v>
      </c>
      <c r="K136" s="26"/>
      <c r="L136" s="26"/>
      <c r="M136" s="27">
        <f t="shared" si="19"/>
        <v>46174</v>
      </c>
      <c r="N136" s="26" t="str">
        <f t="shared" ca="1" si="20"/>
        <v>CERRADO</v>
      </c>
      <c r="O136" s="26"/>
      <c r="P136" s="84" t="str">
        <f>IFERROR(VLOOKUP(G136,Listas!$I$2:$J$23,2,FALSE),"")</f>
        <v>'Listas'!$N$2:$N$17</v>
      </c>
    </row>
    <row r="137" spans="1:16">
      <c r="A137" s="26">
        <v>135</v>
      </c>
      <c r="B137" s="27">
        <v>46169</v>
      </c>
      <c r="C137" s="20" t="s">
        <v>23</v>
      </c>
      <c r="D137" s="26" t="s">
        <v>365</v>
      </c>
      <c r="E137" s="26" t="s">
        <v>366</v>
      </c>
      <c r="F137" s="26"/>
      <c r="G137" s="26" t="s">
        <v>30</v>
      </c>
      <c r="H137" s="15" t="s">
        <v>30</v>
      </c>
      <c r="I137" s="26" t="str">
        <f>IF(G137="","",IFERROR(VLOOKUP(G137,Listas!$D$2:$E$23,2,FALSE),""))</f>
        <v>Brian Sarzosa</v>
      </c>
      <c r="J137" s="26" t="s">
        <v>367</v>
      </c>
      <c r="K137" s="26"/>
      <c r="L137" s="26"/>
      <c r="M137" s="27">
        <f t="shared" si="19"/>
        <v>46174</v>
      </c>
      <c r="N137" s="26" t="str">
        <f t="shared" ca="1" si="20"/>
        <v>CERRADO</v>
      </c>
      <c r="O137" s="26"/>
      <c r="P137" s="84" t="str">
        <f>IFERROR(VLOOKUP(G137,Listas!$I$2:$J$23,2,FALSE),"")</f>
        <v>'Listas'!$N$2:$N$17</v>
      </c>
    </row>
    <row r="138" spans="1:16">
      <c r="A138" s="26">
        <v>136</v>
      </c>
      <c r="B138" s="27">
        <v>46169</v>
      </c>
      <c r="C138" s="20" t="s">
        <v>23</v>
      </c>
      <c r="D138" s="26" t="s">
        <v>368</v>
      </c>
      <c r="E138" s="26" t="s">
        <v>369</v>
      </c>
      <c r="F138" s="26"/>
      <c r="G138" s="26" t="s">
        <v>30</v>
      </c>
      <c r="H138" s="15" t="s">
        <v>30</v>
      </c>
      <c r="I138" s="26" t="str">
        <f>IF(G138="","",IFERROR(VLOOKUP(G138,Listas!$D$2:$E$23,2,FALSE),""))</f>
        <v>Brian Sarzosa</v>
      </c>
      <c r="J138" s="26" t="s">
        <v>370</v>
      </c>
      <c r="K138" s="26"/>
      <c r="L138" s="26"/>
      <c r="M138" s="27">
        <f t="shared" si="19"/>
        <v>46174</v>
      </c>
      <c r="N138" s="26" t="str">
        <f t="shared" ca="1" si="20"/>
        <v>CERRADO</v>
      </c>
      <c r="O138" s="26"/>
      <c r="P138" s="84" t="str">
        <f>IFERROR(VLOOKUP(G138,Listas!$I$2:$J$23,2,FALSE),"")</f>
        <v>'Listas'!$N$2:$N$17</v>
      </c>
    </row>
    <row r="139" spans="1:16">
      <c r="A139" s="26">
        <v>137</v>
      </c>
      <c r="B139" s="27">
        <v>46169</v>
      </c>
      <c r="C139" s="20" t="s">
        <v>23</v>
      </c>
      <c r="D139" s="26" t="s">
        <v>371</v>
      </c>
      <c r="E139" s="26" t="s">
        <v>355</v>
      </c>
      <c r="F139" s="26"/>
      <c r="G139" s="26" t="s">
        <v>30</v>
      </c>
      <c r="H139" s="15" t="s">
        <v>30</v>
      </c>
      <c r="I139" s="26" t="str">
        <f>IF(G139="","",IFERROR(VLOOKUP(G139,Listas!$D$2:$E$23,2,FALSE),""))</f>
        <v>Brian Sarzosa</v>
      </c>
      <c r="J139" s="26" t="s">
        <v>372</v>
      </c>
      <c r="K139" s="26"/>
      <c r="L139" s="26"/>
      <c r="M139" s="27">
        <f t="shared" si="19"/>
        <v>46174</v>
      </c>
      <c r="N139" s="26" t="str">
        <f t="shared" ca="1" si="20"/>
        <v>CERRADO</v>
      </c>
      <c r="O139" s="26"/>
      <c r="P139" s="84" t="str">
        <f>IFERROR(VLOOKUP(G139,Listas!$I$2:$J$23,2,FALSE),"")</f>
        <v>'Listas'!$N$2:$N$17</v>
      </c>
    </row>
    <row r="140" spans="1:16">
      <c r="A140" s="26">
        <v>138</v>
      </c>
      <c r="B140" s="27">
        <v>46169</v>
      </c>
      <c r="C140" s="20" t="s">
        <v>23</v>
      </c>
      <c r="D140" s="26" t="s">
        <v>289</v>
      </c>
      <c r="E140" s="26" t="s">
        <v>363</v>
      </c>
      <c r="F140" s="26"/>
      <c r="G140" s="26" t="s">
        <v>30</v>
      </c>
      <c r="H140" s="15" t="s">
        <v>30</v>
      </c>
      <c r="I140" s="26" t="str">
        <f>IF(G140="","",IFERROR(VLOOKUP(G140,Listas!$D$2:$E$23,2,FALSE),""))</f>
        <v>Brian Sarzosa</v>
      </c>
      <c r="J140" s="26" t="s">
        <v>373</v>
      </c>
      <c r="K140" s="26"/>
      <c r="L140" s="26"/>
      <c r="M140" s="27">
        <f t="shared" si="19"/>
        <v>46174</v>
      </c>
      <c r="N140" s="26" t="str">
        <f t="shared" ca="1" si="20"/>
        <v>CERRADO</v>
      </c>
      <c r="O140" s="26"/>
      <c r="P140" s="84" t="str">
        <f>IFERROR(VLOOKUP(G140,Listas!$I$2:$J$23,2,FALSE),"")</f>
        <v>'Listas'!$N$2:$N$17</v>
      </c>
    </row>
    <row r="141" spans="1:16" ht="8.85" customHeight="1">
      <c r="A141" s="26">
        <v>139</v>
      </c>
      <c r="B141" s="8">
        <v>46169</v>
      </c>
      <c r="C141" s="20" t="s">
        <v>23</v>
      </c>
      <c r="D141" s="7" t="s">
        <v>374</v>
      </c>
      <c r="E141" s="7" t="s">
        <v>375</v>
      </c>
      <c r="F141" s="7"/>
      <c r="G141" s="26" t="s">
        <v>57</v>
      </c>
      <c r="H141" s="7" t="s">
        <v>376</v>
      </c>
      <c r="I141" s="7" t="str">
        <f>IF(G141="","",IFERROR(VLOOKUP(G141,Listas!$D$2:$E$23,2,FALSE),""))</f>
        <v>Mario Guamán</v>
      </c>
      <c r="J141" s="7" t="s">
        <v>377</v>
      </c>
      <c r="K141" s="26"/>
      <c r="L141" s="8">
        <v>46238</v>
      </c>
      <c r="M141" s="8">
        <v>46238</v>
      </c>
      <c r="N141" s="10" t="str">
        <f ca="1">IF(M141&lt;&gt;"","CERRADO",IF(L141&gt;TODAY(),"EN PROCESO",IF(M141="","ABIERTO")))</f>
        <v>CERRADO</v>
      </c>
      <c r="O141" s="7"/>
      <c r="P141" s="84" t="str">
        <f>IFERROR(VLOOKUP(G141,Listas!$I$2:$J$23,2,FALSE),"")</f>
        <v>'Listas'!$P$2:$P$16</v>
      </c>
    </row>
    <row r="142" spans="1:16">
      <c r="A142" s="26">
        <v>140</v>
      </c>
      <c r="B142" s="27">
        <v>46169</v>
      </c>
      <c r="C142" s="20" t="s">
        <v>23</v>
      </c>
      <c r="D142" s="26" t="s">
        <v>378</v>
      </c>
      <c r="E142" s="26" t="s">
        <v>355</v>
      </c>
      <c r="F142" s="26"/>
      <c r="G142" s="26" t="s">
        <v>57</v>
      </c>
      <c r="H142" s="26" t="s">
        <v>379</v>
      </c>
      <c r="I142" s="26" t="str">
        <f>IF(G142="","",IFERROR(VLOOKUP(G142,Listas!$D$2:$E$23,2,FALSE),""))</f>
        <v>Mario Guamán</v>
      </c>
      <c r="J142" s="26" t="s">
        <v>380</v>
      </c>
      <c r="K142" s="26"/>
      <c r="L142" s="26"/>
      <c r="M142" s="27">
        <f t="shared" ref="M142:M144" si="21">B142+5</f>
        <v>46174</v>
      </c>
      <c r="N142" s="26" t="str">
        <f t="shared" ref="N142:N144" ca="1" si="22">IF(M142&lt;TODAY(),"CERRADO","ABIERTO")</f>
        <v>CERRADO</v>
      </c>
      <c r="O142" s="26"/>
      <c r="P142" s="84" t="str">
        <f>IFERROR(VLOOKUP(G142,Listas!$I$2:$J$23,2,FALSE),"")</f>
        <v>'Listas'!$P$2:$P$16</v>
      </c>
    </row>
    <row r="143" spans="1:16">
      <c r="A143" s="26">
        <v>141</v>
      </c>
      <c r="B143" s="27">
        <v>46169</v>
      </c>
      <c r="C143" s="20" t="s">
        <v>23</v>
      </c>
      <c r="D143" s="26" t="s">
        <v>308</v>
      </c>
      <c r="E143" s="26" t="s">
        <v>363</v>
      </c>
      <c r="F143" s="26"/>
      <c r="G143" s="26" t="s">
        <v>57</v>
      </c>
      <c r="H143" s="15" t="s">
        <v>381</v>
      </c>
      <c r="I143" s="26" t="str">
        <f>IF(G143="","",IFERROR(VLOOKUP(G143,Listas!$D$2:$E$23,2,FALSE),""))</f>
        <v>Mario Guamán</v>
      </c>
      <c r="J143" s="26" t="s">
        <v>382</v>
      </c>
      <c r="K143" s="26"/>
      <c r="L143" s="26"/>
      <c r="M143" s="27">
        <f t="shared" si="21"/>
        <v>46174</v>
      </c>
      <c r="N143" s="26" t="str">
        <f t="shared" ca="1" si="22"/>
        <v>CERRADO</v>
      </c>
      <c r="O143" s="26"/>
      <c r="P143" s="84" t="str">
        <f>IFERROR(VLOOKUP(G143,Listas!$I$2:$J$23,2,FALSE),"")</f>
        <v>'Listas'!$P$2:$P$16</v>
      </c>
    </row>
    <row r="144" spans="1:16" ht="14.55" customHeight="1">
      <c r="A144" s="26">
        <v>142</v>
      </c>
      <c r="B144" s="27">
        <v>46170</v>
      </c>
      <c r="C144" s="20" t="s">
        <v>23</v>
      </c>
      <c r="D144" s="26" t="s">
        <v>362</v>
      </c>
      <c r="E144" s="26" t="s">
        <v>363</v>
      </c>
      <c r="F144" s="26"/>
      <c r="G144" s="26" t="s">
        <v>20</v>
      </c>
      <c r="H144" s="15" t="s">
        <v>269</v>
      </c>
      <c r="I144" s="26" t="str">
        <f>IF(G144="","",IFERROR(VLOOKUP(G144,Listas!$D$2:$E$23,2,FALSE),""))</f>
        <v>Pablo Velasco</v>
      </c>
      <c r="J144" s="26" t="s">
        <v>364</v>
      </c>
      <c r="K144" s="26"/>
      <c r="L144" s="26"/>
      <c r="M144" s="27">
        <f t="shared" si="21"/>
        <v>46175</v>
      </c>
      <c r="N144" s="26" t="str">
        <f t="shared" ca="1" si="22"/>
        <v>CERRADO</v>
      </c>
      <c r="O144" s="26"/>
      <c r="P144" s="84" t="str">
        <f>IFERROR(VLOOKUP(G144,Listas!$I$2:$J$23,2,FALSE),"")</f>
        <v>'Listas'!$M$2:$M$19</v>
      </c>
    </row>
    <row r="145" spans="1:16" ht="5.55" customHeight="1">
      <c r="A145" s="26">
        <v>143</v>
      </c>
      <c r="B145" s="8">
        <v>46170</v>
      </c>
      <c r="C145" s="20" t="s">
        <v>23</v>
      </c>
      <c r="D145" s="7" t="s">
        <v>383</v>
      </c>
      <c r="E145" s="7" t="s">
        <v>384</v>
      </c>
      <c r="F145" s="7"/>
      <c r="G145" s="26" t="s">
        <v>20</v>
      </c>
      <c r="H145" s="15" t="s">
        <v>269</v>
      </c>
      <c r="I145" s="7" t="str">
        <f>IF(G145="","",IFERROR(VLOOKUP(G145,Listas!$D$2:$E$23,2,FALSE),""))</f>
        <v>Pablo Velasco</v>
      </c>
      <c r="J145" s="7" t="s">
        <v>385</v>
      </c>
      <c r="K145" s="26"/>
      <c r="L145" s="8"/>
      <c r="M145" s="8"/>
      <c r="N145" s="10" t="str">
        <f ca="1">IF(M145&lt;&gt;"","CERRADO",IF(L145&gt;TODAY(),"EN PROCESO",IF(M145="","ABIERTO")))</f>
        <v>ABIERTO</v>
      </c>
      <c r="O145" s="7"/>
      <c r="P145" s="84" t="str">
        <f>IFERROR(VLOOKUP(G145,Listas!$I$2:$J$23,2,FALSE),"")</f>
        <v>'Listas'!$M$2:$M$19</v>
      </c>
    </row>
    <row r="146" spans="1:16">
      <c r="A146" s="26">
        <v>144</v>
      </c>
      <c r="B146" s="27">
        <v>46170</v>
      </c>
      <c r="C146" s="20" t="s">
        <v>23</v>
      </c>
      <c r="D146" s="26" t="s">
        <v>362</v>
      </c>
      <c r="E146" s="26" t="s">
        <v>363</v>
      </c>
      <c r="F146" s="26"/>
      <c r="G146" s="26" t="s">
        <v>30</v>
      </c>
      <c r="H146" s="26" t="s">
        <v>386</v>
      </c>
      <c r="I146" s="26" t="str">
        <f>IF(G146="","",IFERROR(VLOOKUP(G146,Listas!$D$2:$E$23,2,FALSE),""))</f>
        <v>Brian Sarzosa</v>
      </c>
      <c r="J146" s="26" t="s">
        <v>387</v>
      </c>
      <c r="K146" s="26"/>
      <c r="L146" s="26"/>
      <c r="M146" s="27">
        <f t="shared" ref="M146:M148" si="23">B146+5</f>
        <v>46175</v>
      </c>
      <c r="N146" s="26" t="str">
        <f t="shared" ref="N146:N148" ca="1" si="24">IF(M146&lt;TODAY(),"CERRADO","ABIERTO")</f>
        <v>CERRADO</v>
      </c>
      <c r="O146" s="26"/>
      <c r="P146" s="84" t="str">
        <f>IFERROR(VLOOKUP(G146,Listas!$I$2:$J$23,2,FALSE),"")</f>
        <v>'Listas'!$N$2:$N$17</v>
      </c>
    </row>
    <row r="147" spans="1:16">
      <c r="A147" s="26">
        <v>145</v>
      </c>
      <c r="B147" s="27">
        <v>46170</v>
      </c>
      <c r="C147" s="20" t="s">
        <v>23</v>
      </c>
      <c r="D147" s="26" t="s">
        <v>388</v>
      </c>
      <c r="E147" s="26" t="s">
        <v>245</v>
      </c>
      <c r="F147" s="26"/>
      <c r="G147" s="26" t="s">
        <v>30</v>
      </c>
      <c r="H147" s="15" t="s">
        <v>30</v>
      </c>
      <c r="I147" s="26" t="str">
        <f>IF(G147="","",IFERROR(VLOOKUP(G147,Listas!$D$2:$E$23,2,FALSE),""))</f>
        <v>Brian Sarzosa</v>
      </c>
      <c r="J147" s="26" t="s">
        <v>389</v>
      </c>
      <c r="K147" s="26"/>
      <c r="L147" s="26"/>
      <c r="M147" s="27">
        <f t="shared" si="23"/>
        <v>46175</v>
      </c>
      <c r="N147" s="26" t="str">
        <f t="shared" ca="1" si="24"/>
        <v>CERRADO</v>
      </c>
      <c r="O147" s="26"/>
      <c r="P147" s="84" t="str">
        <f>IFERROR(VLOOKUP(G147,Listas!$I$2:$J$23,2,FALSE),"")</f>
        <v>'Listas'!$N$2:$N$17</v>
      </c>
    </row>
    <row r="148" spans="1:16">
      <c r="A148" s="26">
        <v>146</v>
      </c>
      <c r="B148" s="27">
        <v>46171</v>
      </c>
      <c r="C148" s="20" t="s">
        <v>23</v>
      </c>
      <c r="D148" s="26" t="s">
        <v>362</v>
      </c>
      <c r="E148" s="26" t="s">
        <v>363</v>
      </c>
      <c r="F148" s="26"/>
      <c r="G148" s="26" t="s">
        <v>57</v>
      </c>
      <c r="H148" s="15" t="s">
        <v>57</v>
      </c>
      <c r="I148" s="26" t="str">
        <f>IF(G148="","",IFERROR(VLOOKUP(G148,Listas!$D$2:$E$23,2,FALSE),""))</f>
        <v>Mario Guamán</v>
      </c>
      <c r="J148" s="26" t="s">
        <v>364</v>
      </c>
      <c r="K148" s="26"/>
      <c r="L148" s="26"/>
      <c r="M148" s="27">
        <f t="shared" si="23"/>
        <v>46176</v>
      </c>
      <c r="N148" s="26" t="str">
        <f t="shared" ca="1" si="24"/>
        <v>CERRADO</v>
      </c>
      <c r="O148" s="26"/>
      <c r="P148" s="84" t="str">
        <f>IFERROR(VLOOKUP(G148,Listas!$I$2:$J$23,2,FALSE),"")</f>
        <v>'Listas'!$P$2:$P$16</v>
      </c>
    </row>
    <row r="149" spans="1:16" ht="7.5" customHeight="1">
      <c r="A149" s="26">
        <v>147</v>
      </c>
      <c r="B149" s="8">
        <v>46171</v>
      </c>
      <c r="C149" s="20" t="s">
        <v>23</v>
      </c>
      <c r="D149" s="7" t="s">
        <v>390</v>
      </c>
      <c r="E149" s="7" t="s">
        <v>391</v>
      </c>
      <c r="F149" s="7"/>
      <c r="G149" s="26" t="s">
        <v>57</v>
      </c>
      <c r="H149" s="15" t="s">
        <v>57</v>
      </c>
      <c r="I149" s="7" t="str">
        <f>IF(G149="","",IFERROR(VLOOKUP(G149,Listas!$D$2:$E$23,2,FALSE),""))</f>
        <v>Mario Guamán</v>
      </c>
      <c r="J149" s="7" t="s">
        <v>392</v>
      </c>
      <c r="K149" s="26"/>
      <c r="L149" s="8"/>
      <c r="M149" s="8"/>
      <c r="N149" s="10" t="str">
        <f ca="1">IF(M149&lt;&gt;"","CERRADO",IF(L149&gt;TODAY(),"EN PROCESO",IF(M149="","ABIERTO")))</f>
        <v>ABIERTO</v>
      </c>
      <c r="O149" s="7"/>
      <c r="P149" s="84" t="str">
        <f>IFERROR(VLOOKUP(G149,Listas!$I$2:$J$23,2,FALSE),"")</f>
        <v>'Listas'!$P$2:$P$16</v>
      </c>
    </row>
    <row r="150" spans="1:16">
      <c r="A150" s="26">
        <v>148</v>
      </c>
      <c r="B150" s="27">
        <v>46171</v>
      </c>
      <c r="C150" s="20" t="s">
        <v>23</v>
      </c>
      <c r="D150" s="26" t="s">
        <v>371</v>
      </c>
      <c r="E150" s="26" t="s">
        <v>393</v>
      </c>
      <c r="F150" s="26"/>
      <c r="G150" s="26" t="s">
        <v>30</v>
      </c>
      <c r="H150" s="15" t="s">
        <v>300</v>
      </c>
      <c r="I150" s="26" t="str">
        <f>IF(G150="","",IFERROR(VLOOKUP(G150,Listas!$D$2:$E$23,2,FALSE),""))</f>
        <v>Brian Sarzosa</v>
      </c>
      <c r="J150" s="26" t="s">
        <v>372</v>
      </c>
      <c r="K150" s="26"/>
      <c r="L150" s="26"/>
      <c r="M150" s="27">
        <f t="shared" ref="M150:M157" si="25">B150+5</f>
        <v>46176</v>
      </c>
      <c r="N150" s="26" t="str">
        <f t="shared" ref="N150:N157" ca="1" si="26">IF(M150&lt;TODAY(),"CERRADO","ABIERTO")</f>
        <v>CERRADO</v>
      </c>
      <c r="O150" s="26"/>
      <c r="P150" s="84" t="str">
        <f>IFERROR(VLOOKUP(G150,Listas!$I$2:$J$23,2,FALSE),"")</f>
        <v>'Listas'!$N$2:$N$17</v>
      </c>
    </row>
    <row r="151" spans="1:16">
      <c r="A151" s="26">
        <v>149</v>
      </c>
      <c r="B151" s="27">
        <v>46171</v>
      </c>
      <c r="C151" s="20" t="s">
        <v>23</v>
      </c>
      <c r="D151" s="26" t="s">
        <v>394</v>
      </c>
      <c r="E151" s="26" t="s">
        <v>279</v>
      </c>
      <c r="F151" s="26"/>
      <c r="G151" s="26" t="s">
        <v>30</v>
      </c>
      <c r="H151" s="15" t="s">
        <v>300</v>
      </c>
      <c r="I151" s="26" t="str">
        <f>IF(G151="","",IFERROR(VLOOKUP(G151,Listas!$D$2:$E$23,2,FALSE),""))</f>
        <v>Brian Sarzosa</v>
      </c>
      <c r="J151" s="26" t="s">
        <v>395</v>
      </c>
      <c r="K151" s="26"/>
      <c r="L151" s="26"/>
      <c r="M151" s="27">
        <f t="shared" si="25"/>
        <v>46176</v>
      </c>
      <c r="N151" s="26" t="str">
        <f t="shared" ca="1" si="26"/>
        <v>CERRADO</v>
      </c>
      <c r="O151" s="26"/>
      <c r="P151" s="84" t="str">
        <f>IFERROR(VLOOKUP(G151,Listas!$I$2:$J$23,2,FALSE),"")</f>
        <v>'Listas'!$N$2:$N$17</v>
      </c>
    </row>
    <row r="152" spans="1:16">
      <c r="A152" s="26">
        <v>150</v>
      </c>
      <c r="B152" s="27">
        <v>46171</v>
      </c>
      <c r="C152" s="20" t="s">
        <v>23</v>
      </c>
      <c r="D152" s="26" t="s">
        <v>396</v>
      </c>
      <c r="E152" s="26" t="s">
        <v>397</v>
      </c>
      <c r="F152" s="26"/>
      <c r="G152" s="26" t="s">
        <v>54</v>
      </c>
      <c r="H152" s="15" t="s">
        <v>398</v>
      </c>
      <c r="I152" s="26" t="str">
        <f>IF(G152="","",IFERROR(VLOOKUP(G152,Listas!$D$2:$E$23,2,FALSE),""))</f>
        <v>Daniel Espinoza</v>
      </c>
      <c r="J152" s="26" t="s">
        <v>399</v>
      </c>
      <c r="K152" s="26"/>
      <c r="L152" s="26"/>
      <c r="M152" s="27">
        <f t="shared" si="25"/>
        <v>46176</v>
      </c>
      <c r="N152" s="26" t="str">
        <f t="shared" ca="1" si="26"/>
        <v>CERRADO</v>
      </c>
      <c r="O152" s="26"/>
      <c r="P152" s="84" t="str">
        <f>IFERROR(VLOOKUP(G152,Listas!$I$2:$J$23,2,FALSE),"")</f>
        <v>'Listas'!$O$2:$O$15</v>
      </c>
    </row>
    <row r="153" spans="1:16">
      <c r="A153" s="26">
        <v>151</v>
      </c>
      <c r="B153" s="27">
        <v>46171</v>
      </c>
      <c r="C153" s="20" t="s">
        <v>23</v>
      </c>
      <c r="D153" s="26" t="s">
        <v>400</v>
      </c>
      <c r="E153" s="26" t="s">
        <v>279</v>
      </c>
      <c r="F153" s="26"/>
      <c r="G153" s="26" t="s">
        <v>54</v>
      </c>
      <c r="H153" s="15" t="s">
        <v>54</v>
      </c>
      <c r="I153" s="26" t="str">
        <f>IF(G153="","",IFERROR(VLOOKUP(G153,Listas!$D$2:$E$23,2,FALSE),""))</f>
        <v>Daniel Espinoza</v>
      </c>
      <c r="J153" s="26" t="s">
        <v>401</v>
      </c>
      <c r="K153" s="26"/>
      <c r="L153" s="26"/>
      <c r="M153" s="27">
        <f t="shared" si="25"/>
        <v>46176</v>
      </c>
      <c r="N153" s="26" t="str">
        <f t="shared" ca="1" si="26"/>
        <v>CERRADO</v>
      </c>
      <c r="O153" s="26"/>
      <c r="P153" s="84" t="str">
        <f>IFERROR(VLOOKUP(G153,Listas!$I$2:$J$23,2,FALSE),"")</f>
        <v>'Listas'!$O$2:$O$15</v>
      </c>
    </row>
    <row r="154" spans="1:16">
      <c r="A154" s="26">
        <v>152</v>
      </c>
      <c r="B154" s="27">
        <v>46171</v>
      </c>
      <c r="C154" s="20" t="s">
        <v>23</v>
      </c>
      <c r="D154" s="26" t="s">
        <v>402</v>
      </c>
      <c r="E154" s="26" t="s">
        <v>279</v>
      </c>
      <c r="F154" s="26"/>
      <c r="G154" s="26" t="s">
        <v>57</v>
      </c>
      <c r="H154" s="15" t="s">
        <v>58</v>
      </c>
      <c r="I154" s="26" t="str">
        <f>IF(G154="","",IFERROR(VLOOKUP(G154,Listas!$D$2:$E$23,2,FALSE),""))</f>
        <v>Mario Guamán</v>
      </c>
      <c r="J154" s="26" t="s">
        <v>403</v>
      </c>
      <c r="K154" s="26"/>
      <c r="L154" s="26"/>
      <c r="M154" s="27">
        <f t="shared" si="25"/>
        <v>46176</v>
      </c>
      <c r="N154" s="26" t="str">
        <f t="shared" ca="1" si="26"/>
        <v>CERRADO</v>
      </c>
      <c r="O154" s="26"/>
      <c r="P154" s="84" t="str">
        <f>IFERROR(VLOOKUP(G154,Listas!$I$2:$J$23,2,FALSE),"")</f>
        <v>'Listas'!$P$2:$P$16</v>
      </c>
    </row>
    <row r="155" spans="1:16">
      <c r="A155" s="26">
        <v>153</v>
      </c>
      <c r="B155" s="27">
        <v>46171</v>
      </c>
      <c r="C155" s="20" t="s">
        <v>23</v>
      </c>
      <c r="D155" s="26" t="s">
        <v>404</v>
      </c>
      <c r="E155" s="26" t="s">
        <v>279</v>
      </c>
      <c r="F155" s="26"/>
      <c r="G155" s="26" t="s">
        <v>57</v>
      </c>
      <c r="H155" s="15" t="s">
        <v>58</v>
      </c>
      <c r="I155" s="26" t="str">
        <f>IF(G155="","",IFERROR(VLOOKUP(G155,Listas!$D$2:$E$23,2,FALSE),""))</f>
        <v>Mario Guamán</v>
      </c>
      <c r="J155" s="26" t="s">
        <v>405</v>
      </c>
      <c r="K155" s="26"/>
      <c r="L155" s="26"/>
      <c r="M155" s="27">
        <f t="shared" si="25"/>
        <v>46176</v>
      </c>
      <c r="N155" s="26" t="str">
        <f t="shared" ca="1" si="26"/>
        <v>CERRADO</v>
      </c>
      <c r="O155" s="26"/>
      <c r="P155" s="84" t="str">
        <f>IFERROR(VLOOKUP(G155,Listas!$I$2:$J$23,2,FALSE),"")</f>
        <v>'Listas'!$P$2:$P$16</v>
      </c>
    </row>
    <row r="156" spans="1:16">
      <c r="A156" s="26">
        <v>154</v>
      </c>
      <c r="B156" s="27">
        <v>46171</v>
      </c>
      <c r="C156" s="20" t="s">
        <v>23</v>
      </c>
      <c r="D156" s="26" t="s">
        <v>406</v>
      </c>
      <c r="E156" s="26" t="s">
        <v>407</v>
      </c>
      <c r="F156" s="26"/>
      <c r="G156" s="26" t="s">
        <v>57</v>
      </c>
      <c r="H156" s="15" t="s">
        <v>58</v>
      </c>
      <c r="I156" s="26" t="str">
        <f>IF(G156="","",IFERROR(VLOOKUP(G156,Listas!$D$2:$E$23,2,FALSE),""))</f>
        <v>Mario Guamán</v>
      </c>
      <c r="J156" s="26" t="s">
        <v>408</v>
      </c>
      <c r="K156" s="26"/>
      <c r="L156" s="26"/>
      <c r="M156" s="27">
        <f t="shared" si="25"/>
        <v>46176</v>
      </c>
      <c r="N156" s="26" t="str">
        <f t="shared" ca="1" si="26"/>
        <v>CERRADO</v>
      </c>
      <c r="O156" s="26"/>
      <c r="P156" s="84" t="str">
        <f>IFERROR(VLOOKUP(G156,Listas!$I$2:$J$23,2,FALSE),"")</f>
        <v>'Listas'!$P$2:$P$16</v>
      </c>
    </row>
    <row r="157" spans="1:16" ht="8.85" customHeight="1">
      <c r="A157" s="26">
        <v>155</v>
      </c>
      <c r="B157" s="27">
        <v>46146</v>
      </c>
      <c r="C157" s="20" t="s">
        <v>23</v>
      </c>
      <c r="D157" s="26" t="s">
        <v>409</v>
      </c>
      <c r="E157" s="26" t="s">
        <v>410</v>
      </c>
      <c r="F157" s="26"/>
      <c r="G157" s="26" t="s">
        <v>20</v>
      </c>
      <c r="H157" s="15" t="s">
        <v>157</v>
      </c>
      <c r="I157" s="26" t="str">
        <f>IF(G157="","",IFERROR(VLOOKUP(G157,Listas!$D$2:$E$23,2,FALSE),""))</f>
        <v>Pablo Velasco</v>
      </c>
      <c r="J157" s="26" t="s">
        <v>411</v>
      </c>
      <c r="K157" s="26"/>
      <c r="L157" s="26"/>
      <c r="M157" s="27">
        <f t="shared" si="25"/>
        <v>46151</v>
      </c>
      <c r="N157" s="26" t="str">
        <f t="shared" ca="1" si="26"/>
        <v>CERRADO</v>
      </c>
      <c r="O157" s="26"/>
      <c r="P157" s="84" t="str">
        <f>IFERROR(VLOOKUP(G157,Listas!$I$2:$J$23,2,FALSE),"")</f>
        <v>'Listas'!$M$2:$M$19</v>
      </c>
    </row>
    <row r="158" spans="1:16" ht="7.05" customHeight="1">
      <c r="A158" s="26">
        <v>156</v>
      </c>
      <c r="B158" s="8">
        <v>46146</v>
      </c>
      <c r="C158" s="20" t="s">
        <v>23</v>
      </c>
      <c r="D158" s="7" t="s">
        <v>412</v>
      </c>
      <c r="E158" s="7" t="s">
        <v>410</v>
      </c>
      <c r="F158" s="7"/>
      <c r="G158" s="26" t="s">
        <v>20</v>
      </c>
      <c r="H158" s="15" t="s">
        <v>157</v>
      </c>
      <c r="I158" s="7" t="str">
        <f>IF(G158="","",IFERROR(VLOOKUP(G158,Listas!$D$2:$E$23,2,FALSE),""))</f>
        <v>Pablo Velasco</v>
      </c>
      <c r="J158" s="7" t="s">
        <v>413</v>
      </c>
      <c r="K158" s="26"/>
      <c r="L158" s="8">
        <v>46248</v>
      </c>
      <c r="M158" s="8"/>
      <c r="N158" s="10" t="str">
        <f ca="1">IF(M158&lt;&gt;"","CERRADO",IF(L158&gt;TODAY(),"EN PROCESO",IF(M158="","ABIERTO")))</f>
        <v>EN PROCESO</v>
      </c>
      <c r="O158" s="7"/>
      <c r="P158" s="84" t="str">
        <f>IFERROR(VLOOKUP(G158,Listas!$I$2:$J$23,2,FALSE),"")</f>
        <v>'Listas'!$M$2:$M$19</v>
      </c>
    </row>
    <row r="159" spans="1:16">
      <c r="A159" s="26">
        <v>157</v>
      </c>
      <c r="B159" s="27">
        <v>46162</v>
      </c>
      <c r="C159" s="20" t="s">
        <v>23</v>
      </c>
      <c r="D159" s="26" t="s">
        <v>414</v>
      </c>
      <c r="E159" s="26" t="s">
        <v>415</v>
      </c>
      <c r="F159" s="26"/>
      <c r="G159" s="26" t="s">
        <v>30</v>
      </c>
      <c r="H159" s="15" t="s">
        <v>30</v>
      </c>
      <c r="I159" s="26" t="str">
        <f>IF(G159="","",IFERROR(VLOOKUP(G159,Listas!$D$2:$E$23,2,FALSE),""))</f>
        <v>Brian Sarzosa</v>
      </c>
      <c r="J159" s="26" t="s">
        <v>416</v>
      </c>
      <c r="K159" s="26"/>
      <c r="L159" s="26"/>
      <c r="M159" s="27">
        <f t="shared" ref="M159:M160" si="27">B159+5</f>
        <v>46167</v>
      </c>
      <c r="N159" s="26" t="str">
        <f t="shared" ref="N159:N160" ca="1" si="28">IF(M159&lt;TODAY(),"CERRADO","ABIERTO")</f>
        <v>CERRADO</v>
      </c>
      <c r="O159" s="26"/>
      <c r="P159" s="84" t="str">
        <f>IFERROR(VLOOKUP(G159,Listas!$I$2:$J$23,2,FALSE),"")</f>
        <v>'Listas'!$N$2:$N$17</v>
      </c>
    </row>
    <row r="160" spans="1:16">
      <c r="A160" s="26">
        <v>158</v>
      </c>
      <c r="B160" s="27">
        <v>46162</v>
      </c>
      <c r="C160" s="20" t="s">
        <v>23</v>
      </c>
      <c r="D160" s="26" t="s">
        <v>417</v>
      </c>
      <c r="E160" s="26" t="s">
        <v>415</v>
      </c>
      <c r="F160" s="26"/>
      <c r="G160" s="26" t="s">
        <v>30</v>
      </c>
      <c r="H160" s="15" t="s">
        <v>30</v>
      </c>
      <c r="I160" s="26" t="str">
        <f>IF(G160="","",IFERROR(VLOOKUP(G160,Listas!$D$2:$E$23,2,FALSE),""))</f>
        <v>Brian Sarzosa</v>
      </c>
      <c r="J160" s="26" t="s">
        <v>418</v>
      </c>
      <c r="K160" s="26"/>
      <c r="L160" s="26"/>
      <c r="M160" s="27">
        <f t="shared" si="27"/>
        <v>46167</v>
      </c>
      <c r="N160" s="26" t="str">
        <f t="shared" ca="1" si="28"/>
        <v>CERRADO</v>
      </c>
      <c r="O160" s="26"/>
      <c r="P160" s="84" t="str">
        <f>IFERROR(VLOOKUP(G160,Listas!$I$2:$J$23,2,FALSE),"")</f>
        <v>'Listas'!$N$2:$N$17</v>
      </c>
    </row>
    <row r="161" spans="1:16" ht="6.45" customHeight="1">
      <c r="A161" s="26">
        <v>159</v>
      </c>
      <c r="B161" s="8">
        <v>46146</v>
      </c>
      <c r="C161" s="20" t="s">
        <v>23</v>
      </c>
      <c r="D161" s="7" t="s">
        <v>419</v>
      </c>
      <c r="E161" s="7" t="s">
        <v>393</v>
      </c>
      <c r="F161" s="7"/>
      <c r="G161" s="26" t="s">
        <v>72</v>
      </c>
      <c r="H161" s="15" t="s">
        <v>72</v>
      </c>
      <c r="I161" s="7" t="str">
        <f>IF(G161="","",IFERROR(VLOOKUP(G161,Listas!$D$2:$E$23,2,FALSE),""))</f>
        <v>Alejandro Pesantez</v>
      </c>
      <c r="J161" s="7" t="s">
        <v>420</v>
      </c>
      <c r="K161" s="26"/>
      <c r="L161" s="8">
        <v>46248</v>
      </c>
      <c r="M161" s="8"/>
      <c r="N161" s="10" t="str">
        <f ca="1">IF(M161&lt;&gt;"","CERRADO",IF(L161&gt;TODAY(),"EN PROCESO",IF(M161="","ABIERTO")))</f>
        <v>EN PROCESO</v>
      </c>
      <c r="O161" s="7"/>
      <c r="P161" s="84" t="str">
        <f>IFERROR(VLOOKUP(G161,Listas!$I$2:$J$23,2,FALSE),"")</f>
        <v>'Listas'!$Q$2:$Q$10</v>
      </c>
    </row>
    <row r="162" spans="1:16">
      <c r="A162" s="26">
        <v>160</v>
      </c>
      <c r="B162" s="27">
        <v>46170</v>
      </c>
      <c r="C162" s="20" t="s">
        <v>23</v>
      </c>
      <c r="D162" s="26" t="s">
        <v>421</v>
      </c>
      <c r="E162" s="26" t="s">
        <v>422</v>
      </c>
      <c r="F162" s="26"/>
      <c r="G162" s="26" t="s">
        <v>54</v>
      </c>
      <c r="H162" s="15" t="s">
        <v>423</v>
      </c>
      <c r="I162" s="26" t="str">
        <f>IF(G162="","",IFERROR(VLOOKUP(G162,Listas!$D$2:$E$23,2,FALSE),""))</f>
        <v>Daniel Espinoza</v>
      </c>
      <c r="J162" s="26" t="s">
        <v>424</v>
      </c>
      <c r="K162" s="26"/>
      <c r="L162" s="26"/>
      <c r="M162" s="27">
        <f>B162+5</f>
        <v>46175</v>
      </c>
      <c r="N162" s="26" t="str">
        <f t="shared" ref="N162" ca="1" si="29">IF(M162&lt;TODAY(),"CERRADO","ABIERTO")</f>
        <v>CERRADO</v>
      </c>
      <c r="O162" s="26"/>
      <c r="P162" s="84" t="str">
        <f>IFERROR(VLOOKUP(G162,Listas!$I$2:$J$23,2,FALSE),"")</f>
        <v>'Listas'!$O$2:$O$15</v>
      </c>
    </row>
    <row r="163" spans="1:16" ht="7.5" customHeight="1">
      <c r="A163" s="26">
        <v>161</v>
      </c>
      <c r="B163" s="8">
        <v>46170</v>
      </c>
      <c r="C163" s="20" t="s">
        <v>23</v>
      </c>
      <c r="D163" s="7" t="s">
        <v>425</v>
      </c>
      <c r="E163" s="7" t="s">
        <v>426</v>
      </c>
      <c r="F163" s="7"/>
      <c r="G163" s="26" t="s">
        <v>54</v>
      </c>
      <c r="H163" s="7" t="s">
        <v>427</v>
      </c>
      <c r="I163" s="7" t="str">
        <f>IF(G163="","",IFERROR(VLOOKUP(G163,Listas!$D$2:$E$23,2,FALSE),""))</f>
        <v>Daniel Espinoza</v>
      </c>
      <c r="J163" s="7" t="s">
        <v>428</v>
      </c>
      <c r="K163" s="26"/>
      <c r="L163" s="8">
        <v>46234</v>
      </c>
      <c r="M163" s="8">
        <v>46234</v>
      </c>
      <c r="N163" s="10" t="str">
        <f ca="1">IF(M163&lt;&gt;"","CERRADO",IF(L163&gt;TODAY(),"EN PROCESO",IF(M163="","ABIERTO")))</f>
        <v>CERRADO</v>
      </c>
      <c r="O163" s="7"/>
      <c r="P163" s="84" t="str">
        <f>IFERROR(VLOOKUP(G163,Listas!$I$2:$J$23,2,FALSE),"")</f>
        <v>'Listas'!$O$2:$O$15</v>
      </c>
    </row>
    <row r="164" spans="1:16">
      <c r="A164" s="26">
        <v>162</v>
      </c>
      <c r="B164" s="27">
        <v>46170</v>
      </c>
      <c r="C164" s="20" t="s">
        <v>23</v>
      </c>
      <c r="D164" s="26" t="s">
        <v>429</v>
      </c>
      <c r="E164" s="26" t="s">
        <v>430</v>
      </c>
      <c r="F164" s="26"/>
      <c r="G164" s="26" t="s">
        <v>54</v>
      </c>
      <c r="H164" s="26" t="s">
        <v>128</v>
      </c>
      <c r="I164" s="26" t="str">
        <f>IF(G164="","",IFERROR(VLOOKUP(G164,Listas!$D$2:$E$23,2,FALSE),""))</f>
        <v>Daniel Espinoza</v>
      </c>
      <c r="J164" s="26" t="s">
        <v>431</v>
      </c>
      <c r="K164" s="26"/>
      <c r="L164" s="26"/>
      <c r="M164" s="27">
        <f t="shared" ref="M164:M166" si="30">B164+5</f>
        <v>46175</v>
      </c>
      <c r="N164" s="26" t="str">
        <f t="shared" ref="N164:N166" ca="1" si="31">IF(M164&lt;TODAY(),"CERRADO","ABIERTO")</f>
        <v>CERRADO</v>
      </c>
      <c r="O164" s="26"/>
      <c r="P164" s="84" t="str">
        <f>IFERROR(VLOOKUP(G164,Listas!$I$2:$J$23,2,FALSE),"")</f>
        <v>'Listas'!$O$2:$O$15</v>
      </c>
    </row>
    <row r="165" spans="1:16">
      <c r="A165" s="26">
        <v>163</v>
      </c>
      <c r="B165" s="27">
        <v>46170</v>
      </c>
      <c r="C165" s="20" t="s">
        <v>23</v>
      </c>
      <c r="D165" s="26" t="s">
        <v>432</v>
      </c>
      <c r="E165" s="26" t="s">
        <v>410</v>
      </c>
      <c r="F165" s="26"/>
      <c r="G165" s="26" t="s">
        <v>54</v>
      </c>
      <c r="H165" s="26" t="s">
        <v>128</v>
      </c>
      <c r="I165" s="26" t="str">
        <f>IF(G165="","",IFERROR(VLOOKUP(G165,Listas!$D$2:$E$23,2,FALSE),""))</f>
        <v>Daniel Espinoza</v>
      </c>
      <c r="J165" s="26" t="s">
        <v>433</v>
      </c>
      <c r="K165" s="26"/>
      <c r="L165" s="26"/>
      <c r="M165" s="27">
        <f t="shared" si="30"/>
        <v>46175</v>
      </c>
      <c r="N165" s="26" t="str">
        <f t="shared" ca="1" si="31"/>
        <v>CERRADO</v>
      </c>
      <c r="O165" s="26"/>
      <c r="P165" s="84" t="str">
        <f>IFERROR(VLOOKUP(G165,Listas!$I$2:$J$23,2,FALSE),"")</f>
        <v>'Listas'!$O$2:$O$15</v>
      </c>
    </row>
    <row r="166" spans="1:16">
      <c r="A166" s="26">
        <v>164</v>
      </c>
      <c r="B166" s="27">
        <v>46170</v>
      </c>
      <c r="C166" s="20" t="s">
        <v>23</v>
      </c>
      <c r="D166" s="26" t="s">
        <v>434</v>
      </c>
      <c r="E166" s="26" t="s">
        <v>279</v>
      </c>
      <c r="F166" s="26"/>
      <c r="G166" s="26" t="s">
        <v>54</v>
      </c>
      <c r="H166" s="15" t="s">
        <v>54</v>
      </c>
      <c r="I166" s="26" t="str">
        <f>IF(G166="","",IFERROR(VLOOKUP(G166,Listas!$D$2:$E$23,2,FALSE),""))</f>
        <v>Daniel Espinoza</v>
      </c>
      <c r="J166" s="26" t="s">
        <v>435</v>
      </c>
      <c r="K166" s="26"/>
      <c r="L166" s="26"/>
      <c r="M166" s="27">
        <f t="shared" si="30"/>
        <v>46175</v>
      </c>
      <c r="N166" s="26" t="str">
        <f t="shared" ca="1" si="31"/>
        <v>CERRADO</v>
      </c>
      <c r="O166" s="26"/>
      <c r="P166" s="84" t="str">
        <f>IFERROR(VLOOKUP(G166,Listas!$I$2:$J$23,2,FALSE),"")</f>
        <v>'Listas'!$O$2:$O$15</v>
      </c>
    </row>
    <row r="167" spans="1:16" ht="7.05" customHeight="1">
      <c r="A167" s="26">
        <v>165</v>
      </c>
      <c r="B167" s="8">
        <v>46170</v>
      </c>
      <c r="C167" s="20" t="s">
        <v>23</v>
      </c>
      <c r="D167" s="7" t="s">
        <v>436</v>
      </c>
      <c r="E167" s="7" t="s">
        <v>437</v>
      </c>
      <c r="F167" s="7"/>
      <c r="G167" s="26" t="s">
        <v>54</v>
      </c>
      <c r="H167" s="15" t="s">
        <v>54</v>
      </c>
      <c r="I167" s="7" t="str">
        <f>IF(G167="","",IFERROR(VLOOKUP(G167,Listas!$D$2:$E$23,2,FALSE),""))</f>
        <v>Daniel Espinoza</v>
      </c>
      <c r="J167" s="7" t="s">
        <v>438</v>
      </c>
      <c r="K167" s="26"/>
      <c r="L167" s="8">
        <v>46023</v>
      </c>
      <c r="M167" s="8"/>
      <c r="N167" s="10" t="str">
        <f ca="1">IF(M167&lt;&gt;"","CERRADO",IF(L167&gt;TODAY(),"EN PROCESO",IF(M167="","ABIERTO")))</f>
        <v>ABIERTO</v>
      </c>
      <c r="O167" s="7"/>
      <c r="P167" s="84" t="str">
        <f>IFERROR(VLOOKUP(G167,Listas!$I$2:$J$23,2,FALSE),"")</f>
        <v>'Listas'!$O$2:$O$15</v>
      </c>
    </row>
    <row r="168" spans="1:16">
      <c r="A168" s="26">
        <v>166</v>
      </c>
      <c r="B168" s="27">
        <v>46170</v>
      </c>
      <c r="C168" s="20" t="s">
        <v>23</v>
      </c>
      <c r="D168" s="26" t="s">
        <v>439</v>
      </c>
      <c r="E168" s="26" t="s">
        <v>279</v>
      </c>
      <c r="F168" s="26"/>
      <c r="G168" s="26" t="s">
        <v>54</v>
      </c>
      <c r="H168" s="15" t="s">
        <v>54</v>
      </c>
      <c r="I168" s="26" t="str">
        <f>IF(G168="","",IFERROR(VLOOKUP(G168,Listas!$D$2:$E$23,2,FALSE),""))</f>
        <v>Daniel Espinoza</v>
      </c>
      <c r="J168" s="26" t="s">
        <v>435</v>
      </c>
      <c r="K168" s="26"/>
      <c r="L168" s="26"/>
      <c r="M168" s="27">
        <f t="shared" ref="M168:M189" si="32">B168+5</f>
        <v>46175</v>
      </c>
      <c r="N168" s="26" t="str">
        <f t="shared" ref="N168:N189" ca="1" si="33">IF(M168&lt;TODAY(),"CERRADO","ABIERTO")</f>
        <v>CERRADO</v>
      </c>
      <c r="O168" s="26"/>
      <c r="P168" s="84" t="str">
        <f>IFERROR(VLOOKUP(G168,Listas!$I$2:$J$23,2,FALSE),"")</f>
        <v>'Listas'!$O$2:$O$15</v>
      </c>
    </row>
    <row r="169" spans="1:16">
      <c r="A169" s="26">
        <v>167</v>
      </c>
      <c r="B169" s="27">
        <v>46170</v>
      </c>
      <c r="C169" s="20" t="s">
        <v>23</v>
      </c>
      <c r="D169" s="26" t="s">
        <v>440</v>
      </c>
      <c r="E169" s="26" t="s">
        <v>441</v>
      </c>
      <c r="F169" s="26"/>
      <c r="G169" s="26" t="s">
        <v>54</v>
      </c>
      <c r="H169" s="15" t="s">
        <v>54</v>
      </c>
      <c r="I169" s="26" t="str">
        <f>IF(G169="","",IFERROR(VLOOKUP(G169,Listas!$D$2:$E$23,2,FALSE),""))</f>
        <v>Daniel Espinoza</v>
      </c>
      <c r="J169" s="26" t="s">
        <v>442</v>
      </c>
      <c r="K169" s="26"/>
      <c r="L169" s="26"/>
      <c r="M169" s="27">
        <f t="shared" si="32"/>
        <v>46175</v>
      </c>
      <c r="N169" s="26" t="str">
        <f t="shared" ca="1" si="33"/>
        <v>CERRADO</v>
      </c>
      <c r="O169" s="26"/>
      <c r="P169" s="84" t="str">
        <f>IFERROR(VLOOKUP(G169,Listas!$I$2:$J$23,2,FALSE),"")</f>
        <v>'Listas'!$O$2:$O$15</v>
      </c>
    </row>
    <row r="170" spans="1:16">
      <c r="A170" s="26">
        <v>168</v>
      </c>
      <c r="B170" s="27">
        <v>46174</v>
      </c>
      <c r="C170" s="20" t="s">
        <v>23</v>
      </c>
      <c r="D170" s="26" t="s">
        <v>443</v>
      </c>
      <c r="E170" s="26" t="s">
        <v>363</v>
      </c>
      <c r="F170" s="26"/>
      <c r="G170" s="26" t="s">
        <v>30</v>
      </c>
      <c r="H170" s="15" t="s">
        <v>30</v>
      </c>
      <c r="I170" s="26" t="str">
        <f>IF(G170="","",IFERROR(VLOOKUP(G170,Listas!$D$2:$E$23,2,FALSE),""))</f>
        <v>Brian Sarzosa</v>
      </c>
      <c r="J170" s="26" t="s">
        <v>444</v>
      </c>
      <c r="K170" s="26"/>
      <c r="L170" s="26"/>
      <c r="M170" s="27">
        <f t="shared" si="32"/>
        <v>46179</v>
      </c>
      <c r="N170" s="26" t="str">
        <f t="shared" ca="1" si="33"/>
        <v>CERRADO</v>
      </c>
      <c r="O170" s="26"/>
      <c r="P170" s="84" t="str">
        <f>IFERROR(VLOOKUP(G170,Listas!$I$2:$J$23,2,FALSE),"")</f>
        <v>'Listas'!$N$2:$N$17</v>
      </c>
    </row>
    <row r="171" spans="1:16">
      <c r="A171" s="26">
        <v>169</v>
      </c>
      <c r="B171" s="27">
        <v>46178</v>
      </c>
      <c r="C171" s="20" t="s">
        <v>23</v>
      </c>
      <c r="D171" s="26" t="s">
        <v>445</v>
      </c>
      <c r="E171" s="26" t="s">
        <v>279</v>
      </c>
      <c r="F171" s="26"/>
      <c r="G171" s="26" t="s">
        <v>30</v>
      </c>
      <c r="H171" s="15" t="s">
        <v>30</v>
      </c>
      <c r="I171" s="26" t="str">
        <f>IF(G171="","",IFERROR(VLOOKUP(G171,Listas!$D$2:$E$23,2,FALSE),""))</f>
        <v>Brian Sarzosa</v>
      </c>
      <c r="J171" s="26" t="s">
        <v>446</v>
      </c>
      <c r="K171" s="26"/>
      <c r="L171" s="26"/>
      <c r="M171" s="27">
        <f t="shared" si="32"/>
        <v>46183</v>
      </c>
      <c r="N171" s="26" t="str">
        <f t="shared" ca="1" si="33"/>
        <v>CERRADO</v>
      </c>
      <c r="O171" s="26"/>
      <c r="P171" s="84" t="str">
        <f>IFERROR(VLOOKUP(G171,Listas!$I$2:$J$23,2,FALSE),"")</f>
        <v>'Listas'!$N$2:$N$17</v>
      </c>
    </row>
    <row r="172" spans="1:16">
      <c r="A172" s="26">
        <v>170</v>
      </c>
      <c r="B172" s="27">
        <v>46178</v>
      </c>
      <c r="C172" s="20" t="s">
        <v>23</v>
      </c>
      <c r="D172" s="26" t="s">
        <v>447</v>
      </c>
      <c r="E172" s="26" t="s">
        <v>279</v>
      </c>
      <c r="F172" s="26"/>
      <c r="G172" s="26" t="s">
        <v>72</v>
      </c>
      <c r="H172" s="15" t="s">
        <v>58</v>
      </c>
      <c r="I172" s="26" t="str">
        <f>IF(G172="","",IFERROR(VLOOKUP(G172,Listas!$D$2:$E$23,2,FALSE),""))</f>
        <v>Alejandro Pesantez</v>
      </c>
      <c r="J172" s="26" t="s">
        <v>448</v>
      </c>
      <c r="K172" s="26"/>
      <c r="L172" s="26"/>
      <c r="M172" s="27">
        <f t="shared" si="32"/>
        <v>46183</v>
      </c>
      <c r="N172" s="26" t="str">
        <f t="shared" ca="1" si="33"/>
        <v>CERRADO</v>
      </c>
      <c r="O172" s="26"/>
      <c r="P172" s="84" t="str">
        <f>IFERROR(VLOOKUP(G172,Listas!$I$2:$J$23,2,FALSE),"")</f>
        <v>'Listas'!$Q$2:$Q$10</v>
      </c>
    </row>
    <row r="173" spans="1:16">
      <c r="A173" s="26">
        <v>171</v>
      </c>
      <c r="B173" s="27">
        <v>46182</v>
      </c>
      <c r="C173" s="20" t="s">
        <v>23</v>
      </c>
      <c r="D173" s="26" t="s">
        <v>449</v>
      </c>
      <c r="E173" s="26" t="s">
        <v>276</v>
      </c>
      <c r="F173" s="26"/>
      <c r="G173" s="26" t="s">
        <v>20</v>
      </c>
      <c r="H173" s="26" t="s">
        <v>26</v>
      </c>
      <c r="I173" s="26" t="str">
        <f>IF(G173="","",IFERROR(VLOOKUP(G173,Listas!$D$2:$E$23,2,FALSE),""))</f>
        <v>Pablo Velasco</v>
      </c>
      <c r="J173" s="26" t="s">
        <v>450</v>
      </c>
      <c r="K173" s="26"/>
      <c r="L173" s="26"/>
      <c r="M173" s="27">
        <f t="shared" si="32"/>
        <v>46187</v>
      </c>
      <c r="N173" s="26" t="str">
        <f t="shared" ca="1" si="33"/>
        <v>CERRADO</v>
      </c>
      <c r="O173" s="26"/>
      <c r="P173" s="84" t="str">
        <f>IFERROR(VLOOKUP(G173,Listas!$I$2:$J$23,2,FALSE),"")</f>
        <v>'Listas'!$M$2:$M$19</v>
      </c>
    </row>
    <row r="174" spans="1:16">
      <c r="A174" s="26">
        <v>172</v>
      </c>
      <c r="B174" s="27">
        <v>46183</v>
      </c>
      <c r="C174" s="20" t="s">
        <v>23</v>
      </c>
      <c r="D174" s="26" t="s">
        <v>371</v>
      </c>
      <c r="E174" s="26" t="s">
        <v>393</v>
      </c>
      <c r="F174" s="26"/>
      <c r="G174" s="26" t="s">
        <v>30</v>
      </c>
      <c r="H174" s="15" t="s">
        <v>30</v>
      </c>
      <c r="I174" s="26" t="str">
        <f>IF(G174="","",IFERROR(VLOOKUP(G174,Listas!$D$2:$E$23,2,FALSE),""))</f>
        <v>Brian Sarzosa</v>
      </c>
      <c r="J174" s="26" t="s">
        <v>372</v>
      </c>
      <c r="K174" s="26"/>
      <c r="L174" s="26"/>
      <c r="M174" s="27">
        <f t="shared" si="32"/>
        <v>46188</v>
      </c>
      <c r="N174" s="26" t="str">
        <f t="shared" ca="1" si="33"/>
        <v>CERRADO</v>
      </c>
      <c r="O174" s="26"/>
      <c r="P174" s="84" t="str">
        <f>IFERROR(VLOOKUP(G174,Listas!$I$2:$J$23,2,FALSE),"")</f>
        <v>'Listas'!$N$2:$N$17</v>
      </c>
    </row>
    <row r="175" spans="1:16">
      <c r="A175" s="26">
        <v>173</v>
      </c>
      <c r="B175" s="27">
        <v>46184</v>
      </c>
      <c r="C175" s="20" t="s">
        <v>23</v>
      </c>
      <c r="D175" s="26" t="s">
        <v>371</v>
      </c>
      <c r="E175" s="26" t="s">
        <v>451</v>
      </c>
      <c r="F175" s="26"/>
      <c r="G175" s="26" t="s">
        <v>30</v>
      </c>
      <c r="H175" s="26" t="s">
        <v>452</v>
      </c>
      <c r="I175" s="26" t="str">
        <f>IF(G175="","",IFERROR(VLOOKUP(G175,Listas!$D$2:$E$23,2,FALSE),""))</f>
        <v>Brian Sarzosa</v>
      </c>
      <c r="J175" s="26" t="s">
        <v>372</v>
      </c>
      <c r="K175" s="26"/>
      <c r="L175" s="26"/>
      <c r="M175" s="27">
        <f t="shared" si="32"/>
        <v>46189</v>
      </c>
      <c r="N175" s="26" t="str">
        <f t="shared" ca="1" si="33"/>
        <v>CERRADO</v>
      </c>
      <c r="O175" s="26"/>
      <c r="P175" s="84" t="str">
        <f>IFERROR(VLOOKUP(G175,Listas!$I$2:$J$23,2,FALSE),"")</f>
        <v>'Listas'!$N$2:$N$17</v>
      </c>
    </row>
    <row r="176" spans="1:16">
      <c r="A176" s="26">
        <v>174</v>
      </c>
      <c r="B176" s="27">
        <v>46184</v>
      </c>
      <c r="C176" s="20" t="s">
        <v>23</v>
      </c>
      <c r="D176" s="26" t="s">
        <v>453</v>
      </c>
      <c r="E176" s="26" t="s">
        <v>393</v>
      </c>
      <c r="F176" s="26" t="s">
        <v>454</v>
      </c>
      <c r="G176" s="26" t="s">
        <v>30</v>
      </c>
      <c r="H176" s="15" t="s">
        <v>30</v>
      </c>
      <c r="I176" s="26" t="str">
        <f>IF(G176="","",IFERROR(VLOOKUP(G176,Listas!$D$2:$E$23,2,FALSE),""))</f>
        <v>Brian Sarzosa</v>
      </c>
      <c r="J176" s="26" t="s">
        <v>455</v>
      </c>
      <c r="K176" s="26"/>
      <c r="L176" s="26"/>
      <c r="M176" s="27">
        <f t="shared" si="32"/>
        <v>46189</v>
      </c>
      <c r="N176" s="26" t="str">
        <f t="shared" ca="1" si="33"/>
        <v>CERRADO</v>
      </c>
      <c r="O176" s="26"/>
      <c r="P176" s="84" t="str">
        <f>IFERROR(VLOOKUP(G176,Listas!$I$2:$J$23,2,FALSE),"")</f>
        <v>'Listas'!$N$2:$N$17</v>
      </c>
    </row>
    <row r="177" spans="1:16">
      <c r="A177" s="26">
        <v>175</v>
      </c>
      <c r="B177" s="27">
        <v>46184</v>
      </c>
      <c r="C177" s="20" t="s">
        <v>23</v>
      </c>
      <c r="D177" s="26" t="s">
        <v>456</v>
      </c>
      <c r="E177" s="26" t="s">
        <v>457</v>
      </c>
      <c r="F177" s="26"/>
      <c r="G177" s="26" t="s">
        <v>20</v>
      </c>
      <c r="H177" s="15" t="s">
        <v>269</v>
      </c>
      <c r="I177" s="26" t="str">
        <f>IF(G177="","",IFERROR(VLOOKUP(G177,Listas!$D$2:$E$23,2,FALSE),""))</f>
        <v>Pablo Velasco</v>
      </c>
      <c r="J177" s="26" t="s">
        <v>458</v>
      </c>
      <c r="K177" s="26"/>
      <c r="L177" s="26"/>
      <c r="M177" s="27">
        <f t="shared" si="32"/>
        <v>46189</v>
      </c>
      <c r="N177" s="26" t="str">
        <f t="shared" ca="1" si="33"/>
        <v>CERRADO</v>
      </c>
      <c r="O177" s="26"/>
      <c r="P177" s="84" t="str">
        <f>IFERROR(VLOOKUP(G177,Listas!$I$2:$J$23,2,FALSE),"")</f>
        <v>'Listas'!$M$2:$M$19</v>
      </c>
    </row>
    <row r="178" spans="1:16">
      <c r="A178" s="26">
        <v>176</v>
      </c>
      <c r="B178" s="27">
        <v>46185</v>
      </c>
      <c r="C178" s="20" t="s">
        <v>23</v>
      </c>
      <c r="D178" s="26" t="s">
        <v>459</v>
      </c>
      <c r="E178" s="26" t="s">
        <v>358</v>
      </c>
      <c r="F178" s="26"/>
      <c r="G178" s="26" t="s">
        <v>30</v>
      </c>
      <c r="H178" s="15" t="s">
        <v>30</v>
      </c>
      <c r="I178" s="26" t="str">
        <f>IF(G178="","",IFERROR(VLOOKUP(G178,Listas!$D$2:$E$23,2,FALSE),""))</f>
        <v>Brian Sarzosa</v>
      </c>
      <c r="J178" s="26" t="s">
        <v>460</v>
      </c>
      <c r="K178" s="26"/>
      <c r="L178" s="26"/>
      <c r="M178" s="27">
        <f t="shared" si="32"/>
        <v>46190</v>
      </c>
      <c r="N178" s="26" t="str">
        <f t="shared" ca="1" si="33"/>
        <v>CERRADO</v>
      </c>
      <c r="O178" s="26"/>
      <c r="P178" s="84" t="str">
        <f>IFERROR(VLOOKUP(G178,Listas!$I$2:$J$23,2,FALSE),"")</f>
        <v>'Listas'!$N$2:$N$17</v>
      </c>
    </row>
    <row r="179" spans="1:16">
      <c r="A179" s="26">
        <v>177</v>
      </c>
      <c r="B179" s="27">
        <v>46189</v>
      </c>
      <c r="C179" s="20" t="s">
        <v>23</v>
      </c>
      <c r="D179" s="26" t="s">
        <v>461</v>
      </c>
      <c r="E179" s="26" t="s">
        <v>358</v>
      </c>
      <c r="F179" s="26"/>
      <c r="G179" s="26" t="s">
        <v>175</v>
      </c>
      <c r="H179" s="15" t="s">
        <v>462</v>
      </c>
      <c r="I179" s="26" t="str">
        <f>IF(G179="","",IFERROR(VLOOKUP(G179,Listas!$D$2:$E$23,2,FALSE),""))</f>
        <v>Sebastián Balseca</v>
      </c>
      <c r="J179" s="26" t="s">
        <v>463</v>
      </c>
      <c r="K179" s="26"/>
      <c r="L179" s="26"/>
      <c r="M179" s="27">
        <f t="shared" si="32"/>
        <v>46194</v>
      </c>
      <c r="N179" s="26" t="str">
        <f t="shared" ca="1" si="33"/>
        <v>CERRADO</v>
      </c>
      <c r="O179" s="26"/>
      <c r="P179" s="84" t="str">
        <f>IFERROR(VLOOKUP(G179,Listas!$I$2:$J$23,2,FALSE),"")</f>
        <v>'Listas'!$R$2:$R$16</v>
      </c>
    </row>
    <row r="180" spans="1:16">
      <c r="A180" s="26">
        <v>178</v>
      </c>
      <c r="B180" s="27">
        <v>46189</v>
      </c>
      <c r="C180" s="20" t="s">
        <v>23</v>
      </c>
      <c r="D180" s="26" t="s">
        <v>464</v>
      </c>
      <c r="E180" s="26" t="s">
        <v>279</v>
      </c>
      <c r="F180" s="26"/>
      <c r="G180" s="26" t="s">
        <v>30</v>
      </c>
      <c r="H180" s="15" t="s">
        <v>30</v>
      </c>
      <c r="I180" s="26" t="str">
        <f>IF(G180="","",IFERROR(VLOOKUP(G180,Listas!$D$2:$E$23,2,FALSE),""))</f>
        <v>Brian Sarzosa</v>
      </c>
      <c r="J180" s="26" t="s">
        <v>465</v>
      </c>
      <c r="K180" s="26"/>
      <c r="L180" s="26"/>
      <c r="M180" s="27">
        <f t="shared" si="32"/>
        <v>46194</v>
      </c>
      <c r="N180" s="26" t="str">
        <f t="shared" ca="1" si="33"/>
        <v>CERRADO</v>
      </c>
      <c r="O180" s="26"/>
      <c r="P180" s="84" t="str">
        <f>IFERROR(VLOOKUP(G180,Listas!$I$2:$J$23,2,FALSE),"")</f>
        <v>'Listas'!$N$2:$N$17</v>
      </c>
    </row>
    <row r="181" spans="1:16">
      <c r="A181" s="26">
        <v>179</v>
      </c>
      <c r="B181" s="27">
        <v>46192</v>
      </c>
      <c r="C181" s="20" t="s">
        <v>23</v>
      </c>
      <c r="D181" s="26" t="s">
        <v>466</v>
      </c>
      <c r="E181" s="26" t="s">
        <v>467</v>
      </c>
      <c r="F181" s="26"/>
      <c r="G181" s="26" t="s">
        <v>30</v>
      </c>
      <c r="H181" s="26" t="s">
        <v>452</v>
      </c>
      <c r="I181" s="26" t="str">
        <f>IF(G181="","",IFERROR(VLOOKUP(G181,Listas!$D$2:$E$23,2,FALSE),""))</f>
        <v>Brian Sarzosa</v>
      </c>
      <c r="J181" s="26" t="s">
        <v>468</v>
      </c>
      <c r="K181" s="26"/>
      <c r="L181" s="26"/>
      <c r="M181" s="27">
        <f t="shared" si="32"/>
        <v>46197</v>
      </c>
      <c r="N181" s="26" t="str">
        <f t="shared" ca="1" si="33"/>
        <v>CERRADO</v>
      </c>
      <c r="O181" s="26"/>
      <c r="P181" s="84" t="str">
        <f>IFERROR(VLOOKUP(G181,Listas!$I$2:$J$23,2,FALSE),"")</f>
        <v>'Listas'!$N$2:$N$17</v>
      </c>
    </row>
    <row r="182" spans="1:16">
      <c r="A182" s="26">
        <v>180</v>
      </c>
      <c r="B182" s="27">
        <v>46192</v>
      </c>
      <c r="C182" s="20" t="s">
        <v>23</v>
      </c>
      <c r="D182" s="26" t="s">
        <v>469</v>
      </c>
      <c r="E182" s="26" t="s">
        <v>290</v>
      </c>
      <c r="F182" s="26"/>
      <c r="G182" s="26" t="s">
        <v>69</v>
      </c>
      <c r="H182" s="15" t="s">
        <v>52</v>
      </c>
      <c r="I182" s="26" t="str">
        <f>IF(G182="","",IFERROR(VLOOKUP(G182,Listas!$D$2:$E$23,2,FALSE),""))</f>
        <v>Edison Lema</v>
      </c>
      <c r="J182" s="26" t="s">
        <v>470</v>
      </c>
      <c r="K182" s="26"/>
      <c r="L182" s="26"/>
      <c r="M182" s="27">
        <f t="shared" si="32"/>
        <v>46197</v>
      </c>
      <c r="N182" s="26" t="str">
        <f t="shared" ca="1" si="33"/>
        <v>CERRADO</v>
      </c>
      <c r="O182" s="26"/>
      <c r="P182" s="84" t="str">
        <f>IFERROR(VLOOKUP(G182,Listas!$I$2:$J$23,2,FALSE),"")</f>
        <v>'Listas'!$R$2:$R$16</v>
      </c>
    </row>
    <row r="183" spans="1:16">
      <c r="A183" s="26">
        <v>181</v>
      </c>
      <c r="B183" s="27">
        <v>46193</v>
      </c>
      <c r="C183" s="20" t="s">
        <v>23</v>
      </c>
      <c r="D183" s="26" t="s">
        <v>471</v>
      </c>
      <c r="E183" s="26" t="s">
        <v>276</v>
      </c>
      <c r="F183" s="26"/>
      <c r="G183" s="26" t="s">
        <v>57</v>
      </c>
      <c r="H183" s="15" t="s">
        <v>57</v>
      </c>
      <c r="I183" s="26" t="str">
        <f>IF(G183="","",IFERROR(VLOOKUP(G183,Listas!$D$2:$E$23,2,FALSE),""))</f>
        <v>Mario Guamán</v>
      </c>
      <c r="J183" s="26" t="s">
        <v>472</v>
      </c>
      <c r="K183" s="26"/>
      <c r="L183" s="26"/>
      <c r="M183" s="27">
        <f t="shared" si="32"/>
        <v>46198</v>
      </c>
      <c r="N183" s="26" t="str">
        <f t="shared" ca="1" si="33"/>
        <v>CERRADO</v>
      </c>
      <c r="O183" s="26"/>
      <c r="P183" s="84" t="str">
        <f>IFERROR(VLOOKUP(G183,Listas!$I$2:$J$23,2,FALSE),"")</f>
        <v>'Listas'!$P$2:$P$16</v>
      </c>
    </row>
    <row r="184" spans="1:16">
      <c r="A184" s="26">
        <v>182</v>
      </c>
      <c r="B184" s="27">
        <v>46195</v>
      </c>
      <c r="C184" s="20" t="s">
        <v>23</v>
      </c>
      <c r="D184" s="26" t="s">
        <v>473</v>
      </c>
      <c r="E184" s="26" t="s">
        <v>474</v>
      </c>
      <c r="F184" s="26"/>
      <c r="G184" s="26" t="s">
        <v>54</v>
      </c>
      <c r="H184" s="15" t="s">
        <v>273</v>
      </c>
      <c r="I184" s="26" t="str">
        <f>IF(G184="","",IFERROR(VLOOKUP(G184,Listas!$D$2:$E$23,2,FALSE),""))</f>
        <v>Daniel Espinoza</v>
      </c>
      <c r="J184" s="26" t="s">
        <v>475</v>
      </c>
      <c r="K184" s="26"/>
      <c r="L184" s="26"/>
      <c r="M184" s="27">
        <f t="shared" si="32"/>
        <v>46200</v>
      </c>
      <c r="N184" s="26" t="str">
        <f t="shared" ca="1" si="33"/>
        <v>CERRADO</v>
      </c>
      <c r="O184" s="26"/>
      <c r="P184" s="84" t="str">
        <f>IFERROR(VLOOKUP(G184,Listas!$I$2:$J$23,2,FALSE),"")</f>
        <v>'Listas'!$O$2:$O$15</v>
      </c>
    </row>
    <row r="185" spans="1:16">
      <c r="A185" s="26">
        <v>183</v>
      </c>
      <c r="B185" s="27">
        <v>46195</v>
      </c>
      <c r="C185" s="20" t="s">
        <v>23</v>
      </c>
      <c r="D185" s="26" t="s">
        <v>476</v>
      </c>
      <c r="E185" s="26" t="s">
        <v>477</v>
      </c>
      <c r="F185" s="26"/>
      <c r="G185" s="26" t="s">
        <v>20</v>
      </c>
      <c r="H185" s="15" t="s">
        <v>157</v>
      </c>
      <c r="I185" s="26" t="str">
        <f>IF(G185="","",IFERROR(VLOOKUP(G185,Listas!$D$2:$E$23,2,FALSE),""))</f>
        <v>Pablo Velasco</v>
      </c>
      <c r="J185" s="26" t="s">
        <v>478</v>
      </c>
      <c r="K185" s="26"/>
      <c r="L185" s="26"/>
      <c r="M185" s="27">
        <f t="shared" si="32"/>
        <v>46200</v>
      </c>
      <c r="N185" s="26" t="str">
        <f t="shared" ca="1" si="33"/>
        <v>CERRADO</v>
      </c>
      <c r="O185" s="26"/>
      <c r="P185" s="84" t="str">
        <f>IFERROR(VLOOKUP(G185,Listas!$I$2:$J$23,2,FALSE),"")</f>
        <v>'Listas'!$M$2:$M$19</v>
      </c>
    </row>
    <row r="186" spans="1:16">
      <c r="A186" s="26">
        <v>184</v>
      </c>
      <c r="B186" s="27">
        <v>46195</v>
      </c>
      <c r="C186" s="20" t="s">
        <v>23</v>
      </c>
      <c r="D186" s="26" t="s">
        <v>479</v>
      </c>
      <c r="E186" s="26" t="s">
        <v>358</v>
      </c>
      <c r="F186" s="26"/>
      <c r="G186" s="26" t="s">
        <v>20</v>
      </c>
      <c r="H186" s="15" t="s">
        <v>21</v>
      </c>
      <c r="I186" s="26" t="str">
        <f>IF(G186="","",IFERROR(VLOOKUP(G186,Listas!$D$2:$E$23,2,FALSE),""))</f>
        <v>Pablo Velasco</v>
      </c>
      <c r="J186" s="26" t="s">
        <v>480</v>
      </c>
      <c r="K186" s="26"/>
      <c r="L186" s="26"/>
      <c r="M186" s="27">
        <f t="shared" si="32"/>
        <v>46200</v>
      </c>
      <c r="N186" s="26" t="str">
        <f t="shared" ca="1" si="33"/>
        <v>CERRADO</v>
      </c>
      <c r="O186" s="26"/>
      <c r="P186" s="84" t="str">
        <f>IFERROR(VLOOKUP(G186,Listas!$I$2:$J$23,2,FALSE),"")</f>
        <v>'Listas'!$M$2:$M$19</v>
      </c>
    </row>
    <row r="187" spans="1:16">
      <c r="A187" s="26">
        <v>185</v>
      </c>
      <c r="B187" s="27">
        <v>46196</v>
      </c>
      <c r="C187" s="20" t="s">
        <v>23</v>
      </c>
      <c r="D187" s="26" t="s">
        <v>481</v>
      </c>
      <c r="E187" s="26" t="s">
        <v>477</v>
      </c>
      <c r="F187" s="26"/>
      <c r="G187" s="26" t="s">
        <v>54</v>
      </c>
      <c r="H187" s="15" t="s">
        <v>54</v>
      </c>
      <c r="I187" s="26" t="str">
        <f>IF(G187="","",IFERROR(VLOOKUP(G187,Listas!$D$2:$E$23,2,FALSE),""))</f>
        <v>Daniel Espinoza</v>
      </c>
      <c r="J187" s="26" t="s">
        <v>482</v>
      </c>
      <c r="K187" s="26"/>
      <c r="L187" s="26"/>
      <c r="M187" s="27">
        <f t="shared" si="32"/>
        <v>46201</v>
      </c>
      <c r="N187" s="26" t="str">
        <f t="shared" ca="1" si="33"/>
        <v>CERRADO</v>
      </c>
      <c r="O187" s="26"/>
      <c r="P187" s="84" t="str">
        <f>IFERROR(VLOOKUP(G187,Listas!$I$2:$J$23,2,FALSE),"")</f>
        <v>'Listas'!$O$2:$O$15</v>
      </c>
    </row>
    <row r="188" spans="1:16">
      <c r="A188" s="26">
        <v>186</v>
      </c>
      <c r="B188" s="27">
        <v>46197</v>
      </c>
      <c r="C188" s="20" t="s">
        <v>23</v>
      </c>
      <c r="D188" s="26" t="s">
        <v>483</v>
      </c>
      <c r="E188" s="26" t="s">
        <v>484</v>
      </c>
      <c r="F188" s="26"/>
      <c r="G188" s="26" t="s">
        <v>30</v>
      </c>
      <c r="H188" s="15" t="s">
        <v>30</v>
      </c>
      <c r="I188" s="26" t="str">
        <f>IF(G188="","",IFERROR(VLOOKUP(G188,Listas!$D$2:$E$23,2,FALSE),""))</f>
        <v>Brian Sarzosa</v>
      </c>
      <c r="J188" s="26" t="s">
        <v>485</v>
      </c>
      <c r="K188" s="26"/>
      <c r="L188" s="26"/>
      <c r="M188" s="27">
        <f t="shared" si="32"/>
        <v>46202</v>
      </c>
      <c r="N188" s="26" t="str">
        <f t="shared" ca="1" si="33"/>
        <v>CERRADO</v>
      </c>
      <c r="O188" s="26"/>
      <c r="P188" s="84" t="str">
        <f>IFERROR(VLOOKUP(G188,Listas!$I$2:$J$23,2,FALSE),"")</f>
        <v>'Listas'!$N$2:$N$17</v>
      </c>
    </row>
    <row r="189" spans="1:16">
      <c r="A189" s="26">
        <v>187</v>
      </c>
      <c r="B189" s="27">
        <v>46197</v>
      </c>
      <c r="C189" s="20" t="s">
        <v>23</v>
      </c>
      <c r="D189" s="26" t="s">
        <v>486</v>
      </c>
      <c r="E189" s="26" t="s">
        <v>358</v>
      </c>
      <c r="F189" s="26"/>
      <c r="G189" s="26" t="s">
        <v>30</v>
      </c>
      <c r="H189" s="15" t="s">
        <v>30</v>
      </c>
      <c r="I189" s="26" t="str">
        <f>IF(G189="","",IFERROR(VLOOKUP(G189,Listas!$D$2:$E$23,2,FALSE),""))</f>
        <v>Brian Sarzosa</v>
      </c>
      <c r="J189" s="26" t="s">
        <v>487</v>
      </c>
      <c r="K189" s="26"/>
      <c r="L189" s="26"/>
      <c r="M189" s="27">
        <f t="shared" si="32"/>
        <v>46202</v>
      </c>
      <c r="N189" s="26" t="str">
        <f t="shared" ca="1" si="33"/>
        <v>CERRADO</v>
      </c>
      <c r="O189" s="26"/>
      <c r="P189" s="84" t="str">
        <f>IFERROR(VLOOKUP(G189,Listas!$I$2:$J$23,2,FALSE),"")</f>
        <v>'Listas'!$N$2:$N$17</v>
      </c>
    </row>
    <row r="190" spans="1:16" ht="7.05" customHeight="1">
      <c r="A190" s="26">
        <v>188</v>
      </c>
      <c r="B190" s="8">
        <v>46199</v>
      </c>
      <c r="C190" s="20" t="s">
        <v>23</v>
      </c>
      <c r="D190" s="7" t="s">
        <v>488</v>
      </c>
      <c r="E190" s="7" t="s">
        <v>489</v>
      </c>
      <c r="F190" s="7"/>
      <c r="G190" s="26" t="s">
        <v>54</v>
      </c>
      <c r="H190" s="7" t="s">
        <v>128</v>
      </c>
      <c r="I190" s="7" t="str">
        <f>IF(G190="","",IFERROR(VLOOKUP(G190,Listas!$D$2:$E$23,2,FALSE),""))</f>
        <v>Daniel Espinoza</v>
      </c>
      <c r="J190" s="7" t="s">
        <v>490</v>
      </c>
      <c r="K190" s="26"/>
      <c r="L190" s="8"/>
      <c r="M190" s="8"/>
      <c r="N190" s="10" t="str">
        <f t="shared" ref="N190:N191" ca="1" si="34">IF(M190&lt;&gt;"","CERRADO",IF(L190&gt;TODAY(),"EN PROCESO",IF(M190="","ABIERTO")))</f>
        <v>ABIERTO</v>
      </c>
      <c r="O190" s="7"/>
      <c r="P190" s="84" t="str">
        <f>IFERROR(VLOOKUP(G190,Listas!$I$2:$J$23,2,FALSE),"")</f>
        <v>'Listas'!$O$2:$O$15</v>
      </c>
    </row>
    <row r="191" spans="1:16" ht="8.85" customHeight="1">
      <c r="A191" s="26">
        <v>189</v>
      </c>
      <c r="B191" s="8">
        <v>46197</v>
      </c>
      <c r="C191" s="20" t="s">
        <v>23</v>
      </c>
      <c r="D191" s="7" t="s">
        <v>491</v>
      </c>
      <c r="E191" s="7" t="s">
        <v>489</v>
      </c>
      <c r="F191" s="7"/>
      <c r="G191" s="26" t="s">
        <v>54</v>
      </c>
      <c r="H191" s="7" t="s">
        <v>128</v>
      </c>
      <c r="I191" s="7" t="str">
        <f>IF(G191="","",IFERROR(VLOOKUP(G191,Listas!$D$2:$E$23,2,FALSE),""))</f>
        <v>Daniel Espinoza</v>
      </c>
      <c r="J191" s="7" t="s">
        <v>492</v>
      </c>
      <c r="K191" s="26"/>
      <c r="L191" s="8"/>
      <c r="M191" s="8"/>
      <c r="N191" s="10" t="str">
        <f t="shared" ca="1" si="34"/>
        <v>ABIERTO</v>
      </c>
      <c r="O191" s="7"/>
      <c r="P191" s="84" t="str">
        <f>IFERROR(VLOOKUP(G191,Listas!$I$2:$J$23,2,FALSE),"")</f>
        <v>'Listas'!$O$2:$O$15</v>
      </c>
    </row>
    <row r="192" spans="1:16">
      <c r="A192" s="26">
        <v>190</v>
      </c>
      <c r="B192" s="27">
        <v>46197</v>
      </c>
      <c r="C192" s="20" t="s">
        <v>23</v>
      </c>
      <c r="D192" s="26" t="s">
        <v>493</v>
      </c>
      <c r="E192" s="26" t="s">
        <v>358</v>
      </c>
      <c r="F192" s="26" t="s">
        <v>494</v>
      </c>
      <c r="G192" s="26" t="s">
        <v>54</v>
      </c>
      <c r="H192" s="26" t="s">
        <v>128</v>
      </c>
      <c r="I192" s="26" t="str">
        <f>IF(G192="","",IFERROR(VLOOKUP(G192,Listas!$D$2:$E$23,2,FALSE),""))</f>
        <v>Daniel Espinoza</v>
      </c>
      <c r="J192" s="26"/>
      <c r="K192" s="26"/>
      <c r="L192" s="26"/>
      <c r="M192" s="27">
        <f t="shared" ref="M192:M197" si="35">B192+5</f>
        <v>46202</v>
      </c>
      <c r="N192" s="26" t="str">
        <f t="shared" ref="N192:N197" ca="1" si="36">IF(M192&lt;TODAY(),"CERRADO","ABIERTO")</f>
        <v>CERRADO</v>
      </c>
      <c r="O192" s="26"/>
      <c r="P192" s="84" t="str">
        <f>IFERROR(VLOOKUP(G192,Listas!$I$2:$J$23,2,FALSE),"")</f>
        <v>'Listas'!$O$2:$O$15</v>
      </c>
    </row>
    <row r="193" spans="1:16">
      <c r="A193" s="26">
        <v>191</v>
      </c>
      <c r="B193" s="27">
        <v>46197</v>
      </c>
      <c r="C193" s="20" t="s">
        <v>23</v>
      </c>
      <c r="D193" s="26" t="s">
        <v>473</v>
      </c>
      <c r="E193" s="26" t="s">
        <v>358</v>
      </c>
      <c r="F193" s="26"/>
      <c r="G193" s="26" t="s">
        <v>57</v>
      </c>
      <c r="H193" s="15" t="s">
        <v>58</v>
      </c>
      <c r="I193" s="26" t="str">
        <f>IF(G193="","",IFERROR(VLOOKUP(G193,Listas!$D$2:$E$23,2,FALSE),""))</f>
        <v>Mario Guamán</v>
      </c>
      <c r="J193" s="26" t="s">
        <v>475</v>
      </c>
      <c r="K193" s="26"/>
      <c r="L193" s="26"/>
      <c r="M193" s="27">
        <f t="shared" si="35"/>
        <v>46202</v>
      </c>
      <c r="N193" s="26" t="str">
        <f t="shared" ca="1" si="36"/>
        <v>CERRADO</v>
      </c>
      <c r="O193" s="26"/>
      <c r="P193" s="84" t="str">
        <f>IFERROR(VLOOKUP(G193,Listas!$I$2:$J$23,2,FALSE),"")</f>
        <v>'Listas'!$P$2:$P$16</v>
      </c>
    </row>
    <row r="194" spans="1:16">
      <c r="A194" s="26">
        <v>192</v>
      </c>
      <c r="B194" s="27">
        <v>46198</v>
      </c>
      <c r="C194" s="20" t="s">
        <v>23</v>
      </c>
      <c r="D194" s="26" t="s">
        <v>495</v>
      </c>
      <c r="E194" s="26" t="s">
        <v>496</v>
      </c>
      <c r="F194" s="26"/>
      <c r="G194" s="26" t="s">
        <v>30</v>
      </c>
      <c r="H194" s="1" t="s">
        <v>221</v>
      </c>
      <c r="I194" s="26" t="str">
        <f>IF(G194="","",IFERROR(VLOOKUP(G194,Listas!$D$2:$E$23,2,FALSE),""))</f>
        <v>Brian Sarzosa</v>
      </c>
      <c r="J194" s="26" t="s">
        <v>497</v>
      </c>
      <c r="K194" s="26"/>
      <c r="L194" s="26"/>
      <c r="M194" s="27">
        <f t="shared" si="35"/>
        <v>46203</v>
      </c>
      <c r="N194" s="26" t="str">
        <f t="shared" ca="1" si="36"/>
        <v>CERRADO</v>
      </c>
      <c r="O194" s="26"/>
      <c r="P194" s="84" t="str">
        <f>IFERROR(VLOOKUP(G194,Listas!$I$2:$J$23,2,FALSE),"")</f>
        <v>'Listas'!$N$2:$N$17</v>
      </c>
    </row>
    <row r="195" spans="1:16">
      <c r="A195" s="26">
        <v>193</v>
      </c>
      <c r="B195" s="27">
        <v>46199</v>
      </c>
      <c r="C195" s="20" t="s">
        <v>23</v>
      </c>
      <c r="D195" s="26" t="s">
        <v>498</v>
      </c>
      <c r="E195" s="26" t="s">
        <v>499</v>
      </c>
      <c r="F195" s="26"/>
      <c r="G195" s="26" t="s">
        <v>54</v>
      </c>
      <c r="H195" s="15" t="s">
        <v>500</v>
      </c>
      <c r="I195" s="26" t="str">
        <f>IF(G195="","",IFERROR(VLOOKUP(G195,Listas!$D$2:$E$23,2,FALSE),""))</f>
        <v>Daniel Espinoza</v>
      </c>
      <c r="J195" s="26" t="s">
        <v>501</v>
      </c>
      <c r="K195" s="26"/>
      <c r="L195" s="26"/>
      <c r="M195" s="27">
        <f t="shared" si="35"/>
        <v>46204</v>
      </c>
      <c r="N195" s="26" t="str">
        <f t="shared" ca="1" si="36"/>
        <v>CERRADO</v>
      </c>
      <c r="O195" s="26"/>
      <c r="P195" s="84" t="str">
        <f>IFERROR(VLOOKUP(G195,Listas!$I$2:$J$23,2,FALSE),"")</f>
        <v>'Listas'!$O$2:$O$15</v>
      </c>
    </row>
    <row r="196" spans="1:16">
      <c r="A196" s="26">
        <v>194</v>
      </c>
      <c r="B196" s="27">
        <v>46199</v>
      </c>
      <c r="C196" s="20" t="s">
        <v>23</v>
      </c>
      <c r="D196" s="26" t="s">
        <v>502</v>
      </c>
      <c r="E196" s="26" t="s">
        <v>279</v>
      </c>
      <c r="F196" s="26"/>
      <c r="G196" s="26" t="s">
        <v>20</v>
      </c>
      <c r="H196" s="15" t="s">
        <v>21</v>
      </c>
      <c r="I196" s="26" t="str">
        <f>IF(G196="","",IFERROR(VLOOKUP(G196,Listas!$D$2:$E$23,2,FALSE),""))</f>
        <v>Pablo Velasco</v>
      </c>
      <c r="J196" s="26" t="s">
        <v>503</v>
      </c>
      <c r="K196" s="26"/>
      <c r="L196" s="26"/>
      <c r="M196" s="27">
        <f t="shared" si="35"/>
        <v>46204</v>
      </c>
      <c r="N196" s="26" t="str">
        <f t="shared" ca="1" si="36"/>
        <v>CERRADO</v>
      </c>
      <c r="O196" s="26"/>
      <c r="P196" s="84" t="str">
        <f>IFERROR(VLOOKUP(G196,Listas!$I$2:$J$23,2,FALSE),"")</f>
        <v>'Listas'!$M$2:$M$19</v>
      </c>
    </row>
    <row r="197" spans="1:16" ht="7.5" customHeight="1">
      <c r="A197" s="26">
        <v>195</v>
      </c>
      <c r="B197" s="27">
        <v>46199</v>
      </c>
      <c r="C197" s="20" t="s">
        <v>23</v>
      </c>
      <c r="D197" s="26" t="s">
        <v>504</v>
      </c>
      <c r="E197" s="26" t="s">
        <v>363</v>
      </c>
      <c r="F197" s="26"/>
      <c r="G197" s="26" t="s">
        <v>30</v>
      </c>
      <c r="H197" s="26" t="s">
        <v>386</v>
      </c>
      <c r="I197" s="26" t="str">
        <f>IF(G197="","",IFERROR(VLOOKUP(G197,Listas!$D$2:$E$23,2,FALSE),""))</f>
        <v>Brian Sarzosa</v>
      </c>
      <c r="J197" s="26" t="s">
        <v>505</v>
      </c>
      <c r="K197" s="26"/>
      <c r="L197" s="26"/>
      <c r="M197" s="27">
        <f t="shared" si="35"/>
        <v>46204</v>
      </c>
      <c r="N197" s="26" t="str">
        <f t="shared" ca="1" si="36"/>
        <v>CERRADO</v>
      </c>
      <c r="O197" s="26"/>
      <c r="P197" s="84" t="str">
        <f>IFERROR(VLOOKUP(G197,Listas!$I$2:$J$23,2,FALSE),"")</f>
        <v>'Listas'!$N$2:$N$17</v>
      </c>
    </row>
    <row r="198" spans="1:16" ht="7.65" customHeight="1">
      <c r="A198" s="26">
        <v>196</v>
      </c>
      <c r="B198" s="8">
        <v>46199</v>
      </c>
      <c r="C198" s="20" t="s">
        <v>23</v>
      </c>
      <c r="D198" s="7" t="s">
        <v>506</v>
      </c>
      <c r="E198" s="7" t="s">
        <v>507</v>
      </c>
      <c r="F198" s="7"/>
      <c r="G198" s="26" t="s">
        <v>30</v>
      </c>
      <c r="H198" s="15" t="s">
        <v>300</v>
      </c>
      <c r="I198" s="7" t="str">
        <f>IF(G198="","",IFERROR(VLOOKUP(G198,Listas!$D$2:$E$23,2,FALSE),""))</f>
        <v>Brian Sarzosa</v>
      </c>
      <c r="J198" s="7" t="s">
        <v>385</v>
      </c>
      <c r="K198" s="26"/>
      <c r="L198" s="8"/>
      <c r="M198" s="8"/>
      <c r="N198" s="10" t="str">
        <f t="shared" ref="N198" ca="1" si="37">IF(M198&lt;&gt;"","CERRADO",IF(L198&gt;TODAY(),"EN PROCESO",IF(M198="","ABIERTO")))</f>
        <v>ABIERTO</v>
      </c>
      <c r="O198" s="7"/>
      <c r="P198" s="84" t="str">
        <f>IFERROR(VLOOKUP(G198,Listas!$I$2:$J$23,2,FALSE),"")</f>
        <v>'Listas'!$N$2:$N$17</v>
      </c>
    </row>
    <row r="199" spans="1:16" ht="4.95" customHeight="1">
      <c r="A199" s="26">
        <v>197</v>
      </c>
      <c r="B199" s="8">
        <v>46199</v>
      </c>
      <c r="C199" s="20" t="s">
        <v>23</v>
      </c>
      <c r="D199" s="7" t="s">
        <v>508</v>
      </c>
      <c r="E199" s="7" t="s">
        <v>279</v>
      </c>
      <c r="F199" s="7"/>
      <c r="G199" s="26" t="s">
        <v>20</v>
      </c>
      <c r="H199" s="15" t="s">
        <v>269</v>
      </c>
      <c r="I199" s="7" t="str">
        <f>IF(G199="","",IFERROR(VLOOKUP(G199,Listas!$D$2:$E$23,2,FALSE),""))</f>
        <v>Pablo Velasco</v>
      </c>
      <c r="J199" s="7" t="s">
        <v>509</v>
      </c>
      <c r="K199" s="26"/>
      <c r="L199" s="8"/>
      <c r="M199" s="8">
        <v>46232</v>
      </c>
      <c r="N199" s="10" t="str">
        <f t="shared" ref="N199" ca="1" si="38">IF(M199&lt;&gt;"","CERRADO",IF(L199&gt;TODAY(),"EN PROCESO",IF(M199="","ABIERTO")))</f>
        <v>CERRADO</v>
      </c>
      <c r="O199" s="7"/>
      <c r="P199" s="84" t="str">
        <f>IFERROR(VLOOKUP(G199,Listas!$I$2:$J$23,2,FALSE),"")</f>
        <v>'Listas'!$M$2:$M$19</v>
      </c>
    </row>
    <row r="200" spans="1:16">
      <c r="A200" s="26">
        <v>198</v>
      </c>
      <c r="B200" s="27">
        <v>46203</v>
      </c>
      <c r="C200" s="20" t="s">
        <v>23</v>
      </c>
      <c r="D200" s="26" t="s">
        <v>510</v>
      </c>
      <c r="E200" s="26" t="s">
        <v>393</v>
      </c>
      <c r="F200" s="26"/>
      <c r="G200" s="26" t="s">
        <v>54</v>
      </c>
      <c r="H200" s="15" t="s">
        <v>54</v>
      </c>
      <c r="I200" s="26" t="str">
        <f>IF(G200="","",IFERROR(VLOOKUP(G200,Listas!$D$2:$E$23,2,FALSE),""))</f>
        <v>Daniel Espinoza</v>
      </c>
      <c r="J200" s="26" t="s">
        <v>511</v>
      </c>
      <c r="K200" s="26"/>
      <c r="L200" s="26"/>
      <c r="M200" s="27">
        <f t="shared" ref="M200:M201" si="39">B200+5</f>
        <v>46208</v>
      </c>
      <c r="N200" s="26" t="str">
        <f t="shared" ref="N200:N201" ca="1" si="40">IF(M200&lt;TODAY(),"CERRADO","ABIERTO")</f>
        <v>CERRADO</v>
      </c>
      <c r="O200" s="26"/>
      <c r="P200" s="84" t="str">
        <f>IFERROR(VLOOKUP(G200,Listas!$I$2:$J$23,2,FALSE),"")</f>
        <v>'Listas'!$O$2:$O$15</v>
      </c>
    </row>
    <row r="201" spans="1:16" ht="4.3499999999999996" customHeight="1">
      <c r="A201" s="26">
        <v>199</v>
      </c>
      <c r="B201" s="27">
        <v>46192</v>
      </c>
      <c r="C201" s="20" t="s">
        <v>16</v>
      </c>
      <c r="D201" s="26" t="s">
        <v>512</v>
      </c>
      <c r="E201" s="26" t="s">
        <v>294</v>
      </c>
      <c r="F201" s="26"/>
      <c r="G201" s="26" t="s">
        <v>30</v>
      </c>
      <c r="H201" s="15" t="s">
        <v>30</v>
      </c>
      <c r="I201" s="26" t="str">
        <f>IF(G201="","",IFERROR(VLOOKUP(G201,Listas!$D$2:$E$23,2,FALSE),""))</f>
        <v>Brian Sarzosa</v>
      </c>
      <c r="J201" s="26" t="s">
        <v>513</v>
      </c>
      <c r="K201" s="26"/>
      <c r="L201" s="26"/>
      <c r="M201" s="27">
        <f t="shared" si="39"/>
        <v>46197</v>
      </c>
      <c r="N201" s="26" t="str">
        <f t="shared" ca="1" si="40"/>
        <v>CERRADO</v>
      </c>
      <c r="O201" s="26"/>
      <c r="P201" s="84" t="str">
        <f>IFERROR(VLOOKUP(G201,Listas!$I$2:$J$23,2,FALSE),"")</f>
        <v>'Listas'!$N$2:$N$17</v>
      </c>
    </row>
    <row r="202" spans="1:16" ht="6.45" customHeight="1">
      <c r="A202" s="26">
        <v>200</v>
      </c>
      <c r="B202" s="8">
        <v>46199</v>
      </c>
      <c r="C202" s="20" t="s">
        <v>23</v>
      </c>
      <c r="D202" s="7" t="s">
        <v>514</v>
      </c>
      <c r="E202" s="7" t="s">
        <v>515</v>
      </c>
      <c r="F202" s="7" t="s">
        <v>494</v>
      </c>
      <c r="G202" s="26" t="s">
        <v>20</v>
      </c>
      <c r="H202" s="15" t="s">
        <v>20</v>
      </c>
      <c r="I202" s="7" t="str">
        <f>IF(G202="","",IFERROR(VLOOKUP(G202,Listas!$D$2:$E$23,2,FALSE),""))</f>
        <v>Pablo Velasco</v>
      </c>
      <c r="J202" s="7" t="s">
        <v>516</v>
      </c>
      <c r="K202" s="26"/>
      <c r="L202" s="8"/>
      <c r="M202" s="8"/>
      <c r="N202" s="10" t="str">
        <f t="shared" ref="N202:N204" ca="1" si="41">IF(M202&lt;&gt;"","CERRADO",IF(L202&gt;TODAY(),"EN PROCESO",IF(M202="","ABIERTO")))</f>
        <v>ABIERTO</v>
      </c>
      <c r="O202" s="7"/>
      <c r="P202" s="84" t="str">
        <f>IFERROR(VLOOKUP(G202,Listas!$I$2:$J$23,2,FALSE),"")</f>
        <v>'Listas'!$M$2:$M$19</v>
      </c>
    </row>
    <row r="203" spans="1:16" ht="7.5" customHeight="1">
      <c r="A203" s="26">
        <v>201</v>
      </c>
      <c r="B203" s="8">
        <v>46203</v>
      </c>
      <c r="C203" s="20" t="s">
        <v>23</v>
      </c>
      <c r="D203" s="7" t="s">
        <v>517</v>
      </c>
      <c r="E203" s="7" t="s">
        <v>515</v>
      </c>
      <c r="F203" s="7" t="s">
        <v>494</v>
      </c>
      <c r="G203" s="26" t="s">
        <v>72</v>
      </c>
      <c r="H203" s="15" t="s">
        <v>72</v>
      </c>
      <c r="I203" s="7" t="str">
        <f>IF(G203="","",IFERROR(VLOOKUP(G203,Listas!$D$2:$E$23,2,FALSE),""))</f>
        <v>Alejandro Pesantez</v>
      </c>
      <c r="J203" s="7" t="s">
        <v>518</v>
      </c>
      <c r="K203" s="26"/>
      <c r="L203" s="8"/>
      <c r="M203" s="8"/>
      <c r="N203" s="10" t="str">
        <f t="shared" ca="1" si="41"/>
        <v>ABIERTO</v>
      </c>
      <c r="O203" s="7"/>
      <c r="P203" s="84" t="str">
        <f>IFERROR(VLOOKUP(G203,Listas!$I$2:$J$23,2,FALSE),"")</f>
        <v>'Listas'!$Q$2:$Q$10</v>
      </c>
    </row>
    <row r="204" spans="1:16" ht="6.45" customHeight="1">
      <c r="A204" s="26">
        <v>202</v>
      </c>
      <c r="B204" s="8">
        <v>46199</v>
      </c>
      <c r="C204" s="20" t="s">
        <v>23</v>
      </c>
      <c r="D204" s="7" t="s">
        <v>514</v>
      </c>
      <c r="E204" s="7" t="s">
        <v>515</v>
      </c>
      <c r="F204" s="7" t="s">
        <v>519</v>
      </c>
      <c r="G204" s="26" t="s">
        <v>57</v>
      </c>
      <c r="H204" s="15" t="s">
        <v>57</v>
      </c>
      <c r="I204" s="7" t="str">
        <f>IF(G204="","",IFERROR(VLOOKUP(G204,Listas!$D$2:$E$23,2,FALSE),""))</f>
        <v>Mario Guamán</v>
      </c>
      <c r="J204" s="7" t="s">
        <v>516</v>
      </c>
      <c r="K204" s="26"/>
      <c r="L204" s="8"/>
      <c r="M204" s="8"/>
      <c r="N204" s="10" t="str">
        <f t="shared" ca="1" si="41"/>
        <v>ABIERTO</v>
      </c>
      <c r="O204" s="7"/>
      <c r="P204" s="84" t="str">
        <f>IFERROR(VLOOKUP(G204,Listas!$I$2:$J$23,2,FALSE),"")</f>
        <v>'Listas'!$P$2:$P$16</v>
      </c>
    </row>
    <row r="205" spans="1:16">
      <c r="A205" s="26">
        <v>203</v>
      </c>
      <c r="B205" s="27">
        <v>46182</v>
      </c>
      <c r="C205" s="20" t="s">
        <v>23</v>
      </c>
      <c r="D205" s="26" t="s">
        <v>520</v>
      </c>
      <c r="E205" s="26" t="s">
        <v>393</v>
      </c>
      <c r="F205" s="26"/>
      <c r="G205" s="26" t="s">
        <v>57</v>
      </c>
      <c r="H205" s="15" t="s">
        <v>57</v>
      </c>
      <c r="I205" s="26" t="str">
        <f>IF(G205="","",IFERROR(VLOOKUP(G205,Listas!$D$2:$E$23,2,FALSE),""))</f>
        <v>Mario Guamán</v>
      </c>
      <c r="J205" s="26" t="s">
        <v>521</v>
      </c>
      <c r="K205" s="26"/>
      <c r="L205" s="26"/>
      <c r="M205" s="27">
        <f>B205+5</f>
        <v>46187</v>
      </c>
      <c r="N205" s="26" t="str">
        <f t="shared" ref="N205" ca="1" si="42">IF(M205&lt;TODAY(),"CERRADO","ABIERTO")</f>
        <v>CERRADO</v>
      </c>
      <c r="O205" s="26"/>
      <c r="P205" s="84" t="str">
        <f>IFERROR(VLOOKUP(G205,Listas!$I$2:$J$23,2,FALSE),"")</f>
        <v>'Listas'!$P$2:$P$16</v>
      </c>
    </row>
    <row r="206" spans="1:16" ht="6.75" customHeight="1">
      <c r="A206" s="26">
        <v>204</v>
      </c>
      <c r="B206" s="8">
        <v>46189</v>
      </c>
      <c r="C206" s="20" t="s">
        <v>23</v>
      </c>
      <c r="D206" s="7" t="s">
        <v>522</v>
      </c>
      <c r="E206" s="7" t="s">
        <v>393</v>
      </c>
      <c r="F206" s="7" t="s">
        <v>519</v>
      </c>
      <c r="G206" s="26" t="s">
        <v>30</v>
      </c>
      <c r="H206" s="15" t="s">
        <v>300</v>
      </c>
      <c r="I206" s="7" t="str">
        <f>IF(G206="","",IFERROR(VLOOKUP(G206,Listas!$D$2:$E$23,2,FALSE),""))</f>
        <v>Brian Sarzosa</v>
      </c>
      <c r="J206" s="7" t="s">
        <v>523</v>
      </c>
      <c r="K206" s="26"/>
      <c r="L206" s="8">
        <v>46234</v>
      </c>
      <c r="M206" s="8">
        <v>46237</v>
      </c>
      <c r="N206" s="10" t="str">
        <f ca="1">IF(M206&lt;&gt;"","CERRADO",IF(L206&gt;TODAY(),"EN PROCESO",IF(M206="","ABIERTO")))</f>
        <v>CERRADO</v>
      </c>
      <c r="O206" s="7"/>
      <c r="P206" s="84" t="str">
        <f>IFERROR(VLOOKUP(G206,Listas!$I$2:$J$23,2,FALSE),"")</f>
        <v>'Listas'!$N$2:$N$17</v>
      </c>
    </row>
    <row r="207" spans="1:16">
      <c r="A207" s="26">
        <v>205</v>
      </c>
      <c r="B207" s="28">
        <v>46196</v>
      </c>
      <c r="C207" s="20" t="s">
        <v>16</v>
      </c>
      <c r="D207" s="29" t="s">
        <v>524</v>
      </c>
      <c r="E207" s="29" t="s">
        <v>393</v>
      </c>
      <c r="F207" s="29"/>
      <c r="G207" s="26" t="s">
        <v>72</v>
      </c>
      <c r="H207" s="15" t="s">
        <v>72</v>
      </c>
      <c r="I207" s="29" t="str">
        <f>IF(G207="","",IFERROR(VLOOKUP(G207,Listas!$D$2:$E$23,2,FALSE),""))</f>
        <v>Alejandro Pesantez</v>
      </c>
      <c r="J207" s="29" t="s">
        <v>525</v>
      </c>
      <c r="K207" s="26"/>
      <c r="L207" s="29"/>
      <c r="M207" s="27">
        <f t="shared" ref="M207:M208" si="43">B207+5</f>
        <v>46201</v>
      </c>
      <c r="N207" s="26" t="str">
        <f t="shared" ref="N207:N208" ca="1" si="44">IF(M207&lt;TODAY(),"CERRADO","ABIERTO")</f>
        <v>CERRADO</v>
      </c>
      <c r="O207" s="29"/>
      <c r="P207" s="84" t="str">
        <f>IFERROR(VLOOKUP(G207,Listas!$I$2:$J$23,2,FALSE),"")</f>
        <v>'Listas'!$Q$2:$Q$10</v>
      </c>
    </row>
    <row r="208" spans="1:16">
      <c r="A208" s="26">
        <v>206</v>
      </c>
      <c r="B208" s="52">
        <v>46226</v>
      </c>
      <c r="C208" s="20" t="s">
        <v>23</v>
      </c>
      <c r="D208" s="53" t="s">
        <v>526</v>
      </c>
      <c r="E208" s="53" t="s">
        <v>328</v>
      </c>
      <c r="F208" s="53"/>
      <c r="G208" s="42" t="s">
        <v>54</v>
      </c>
      <c r="H208" s="16" t="s">
        <v>54</v>
      </c>
      <c r="I208" s="54" t="str">
        <f>IF(G208="","",IFERROR(VLOOKUP(G208,Listas!$D$2:$E$23,2,FALSE),""))</f>
        <v>Daniel Espinoza</v>
      </c>
      <c r="J208" s="53" t="s">
        <v>527</v>
      </c>
      <c r="K208" s="26"/>
      <c r="L208" s="33"/>
      <c r="M208" s="55">
        <f t="shared" si="43"/>
        <v>46231</v>
      </c>
      <c r="N208" s="42" t="str">
        <f t="shared" ca="1" si="44"/>
        <v>CERRADO</v>
      </c>
      <c r="O208" s="53"/>
      <c r="P208" s="84" t="str">
        <f>IFERROR(VLOOKUP(G208,Listas!$I$2:$J$23,2,FALSE),"")</f>
        <v>'Listas'!$O$2:$O$15</v>
      </c>
    </row>
    <row r="209" spans="1:16" s="30" customFormat="1" ht="12" customHeight="1">
      <c r="A209" s="26">
        <v>207</v>
      </c>
      <c r="B209" s="17">
        <v>46226</v>
      </c>
      <c r="C209" s="20" t="s">
        <v>23</v>
      </c>
      <c r="D209" s="16" t="s">
        <v>528</v>
      </c>
      <c r="E209" s="16" t="s">
        <v>393</v>
      </c>
      <c r="F209" s="16"/>
      <c r="G209" s="42" t="s">
        <v>20</v>
      </c>
      <c r="H209" s="16" t="s">
        <v>529</v>
      </c>
      <c r="I209" s="16" t="str">
        <f>IF(G209="","",IFERROR(VLOOKUP(G209,Listas!$D$2:$E$23,2,FALSE),""))</f>
        <v>Pablo Velasco</v>
      </c>
      <c r="J209" s="16" t="s">
        <v>530</v>
      </c>
      <c r="K209" s="26"/>
      <c r="L209" s="43"/>
      <c r="M209" s="43"/>
      <c r="N209" s="44" t="str">
        <f ca="1">IF(M209&lt;&gt;"","CERRADO",IF(L209&gt;TODAY(),"EN PROCESO",IF(M209="","ABIERTO")))</f>
        <v>ABIERTO</v>
      </c>
      <c r="O209" s="16"/>
      <c r="P209" s="84" t="str">
        <f>IFERROR(VLOOKUP(G209,Listas!$I$2:$J$23,2,FALSE),"")</f>
        <v>'Listas'!$M$2:$M$19</v>
      </c>
    </row>
    <row r="210" spans="1:16" ht="6.15" customHeight="1">
      <c r="A210" s="26">
        <v>208</v>
      </c>
      <c r="B210" s="56">
        <v>46226</v>
      </c>
      <c r="C210" s="20" t="s">
        <v>23</v>
      </c>
      <c r="D210" s="47" t="s">
        <v>531</v>
      </c>
      <c r="E210" s="48" t="s">
        <v>294</v>
      </c>
      <c r="F210" s="48"/>
      <c r="G210" s="42" t="s">
        <v>57</v>
      </c>
      <c r="H210" s="16" t="s">
        <v>57</v>
      </c>
      <c r="I210" s="48" t="str">
        <f>IF(G210="","",IFERROR(VLOOKUP(G210,Listas!$D$2:$E$23,2,FALSE),""))</f>
        <v>Mario Guamán</v>
      </c>
      <c r="J210" s="47" t="s">
        <v>532</v>
      </c>
      <c r="K210" s="26"/>
      <c r="L210" s="43"/>
      <c r="M210" s="43">
        <v>46234</v>
      </c>
      <c r="N210" s="44" t="str">
        <f t="shared" ref="N210:N224" ca="1" si="45">IF(M210&lt;&gt;"","CERRADO",IF(L210&gt;TODAY(),"EN PROCESO",IF(M210="","ABIERTO")))</f>
        <v>CERRADO</v>
      </c>
      <c r="O210" s="57"/>
      <c r="P210" s="84" t="str">
        <f>IFERROR(VLOOKUP(G210,Listas!$I$2:$J$23,2,FALSE),"")</f>
        <v>'Listas'!$P$2:$P$16</v>
      </c>
    </row>
    <row r="211" spans="1:16" ht="6.75" customHeight="1">
      <c r="A211" s="26">
        <v>209</v>
      </c>
      <c r="B211" s="58">
        <v>46226</v>
      </c>
      <c r="C211" s="20" t="s">
        <v>23</v>
      </c>
      <c r="D211" s="47" t="s">
        <v>533</v>
      </c>
      <c r="E211" s="48" t="s">
        <v>534</v>
      </c>
      <c r="F211" s="48"/>
      <c r="G211" s="42" t="s">
        <v>20</v>
      </c>
      <c r="H211" s="16" t="s">
        <v>157</v>
      </c>
      <c r="I211" s="48" t="str">
        <f>IF(G211="","",IFERROR(VLOOKUP(G211,Listas!$D$2:$E$23,2,FALSE),""))</f>
        <v>Pablo Velasco</v>
      </c>
      <c r="J211" s="47" t="s">
        <v>535</v>
      </c>
      <c r="K211" s="26"/>
      <c r="L211" s="43"/>
      <c r="M211" s="43">
        <v>46232</v>
      </c>
      <c r="N211" s="44" t="str">
        <f t="shared" ca="1" si="45"/>
        <v>CERRADO</v>
      </c>
      <c r="O211" s="57"/>
      <c r="P211" s="84" t="str">
        <f>IFERROR(VLOOKUP(G211,Listas!$I$2:$J$23,2,FALSE),"")</f>
        <v>'Listas'!$M$2:$M$19</v>
      </c>
    </row>
    <row r="212" spans="1:16" ht="7.05" customHeight="1">
      <c r="A212" s="26">
        <v>210</v>
      </c>
      <c r="B212" s="58">
        <v>46226</v>
      </c>
      <c r="C212" s="20" t="s">
        <v>23</v>
      </c>
      <c r="D212" s="47" t="s">
        <v>536</v>
      </c>
      <c r="E212" s="48" t="s">
        <v>537</v>
      </c>
      <c r="F212" s="48"/>
      <c r="G212" s="42" t="s">
        <v>20</v>
      </c>
      <c r="H212" s="16" t="s">
        <v>157</v>
      </c>
      <c r="I212" s="48" t="str">
        <f>IF(G212="","",IFERROR(VLOOKUP(G212,Listas!$D$2:$E$23,2,FALSE),""))</f>
        <v>Pablo Velasco</v>
      </c>
      <c r="J212" s="47" t="s">
        <v>535</v>
      </c>
      <c r="K212" s="26"/>
      <c r="L212" s="43"/>
      <c r="M212" s="43">
        <v>46232</v>
      </c>
      <c r="N212" s="44" t="str">
        <f t="shared" ca="1" si="45"/>
        <v>CERRADO</v>
      </c>
      <c r="O212" s="57"/>
      <c r="P212" s="84" t="str">
        <f>IFERROR(VLOOKUP(G212,Listas!$I$2:$J$23,2,FALSE),"")</f>
        <v>'Listas'!$M$2:$M$19</v>
      </c>
    </row>
    <row r="213" spans="1:16" ht="7.5" customHeight="1">
      <c r="A213" s="26">
        <v>211</v>
      </c>
      <c r="B213" s="17">
        <v>46226</v>
      </c>
      <c r="C213" s="20" t="s">
        <v>23</v>
      </c>
      <c r="D213" s="16" t="s">
        <v>538</v>
      </c>
      <c r="E213" s="16" t="s">
        <v>393</v>
      </c>
      <c r="F213" s="16"/>
      <c r="G213" s="42" t="s">
        <v>57</v>
      </c>
      <c r="H213" s="16" t="s">
        <v>57</v>
      </c>
      <c r="I213" s="16" t="str">
        <f>IF(G213="","",IFERROR(VLOOKUP(G213,Listas!$D$2:$E$23,2,FALSE),""))</f>
        <v>Mario Guamán</v>
      </c>
      <c r="J213" s="59" t="s">
        <v>539</v>
      </c>
      <c r="K213" s="26"/>
      <c r="L213" s="43"/>
      <c r="M213" s="43"/>
      <c r="N213" s="44" t="str">
        <f t="shared" ca="1" si="45"/>
        <v>ABIERTO</v>
      </c>
      <c r="O213" s="60"/>
      <c r="P213" s="84" t="str">
        <f>IFERROR(VLOOKUP(G213,Listas!$I$2:$J$23,2,FALSE),"")</f>
        <v>'Listas'!$P$2:$P$16</v>
      </c>
    </row>
    <row r="214" spans="1:16" ht="7.05" customHeight="1">
      <c r="A214" s="26">
        <v>212</v>
      </c>
      <c r="B214" s="17">
        <v>46226</v>
      </c>
      <c r="C214" s="20" t="s">
        <v>23</v>
      </c>
      <c r="D214" s="16" t="s">
        <v>540</v>
      </c>
      <c r="E214" s="16" t="s">
        <v>393</v>
      </c>
      <c r="F214" s="16"/>
      <c r="G214" s="42" t="s">
        <v>57</v>
      </c>
      <c r="H214" s="16" t="s">
        <v>57</v>
      </c>
      <c r="I214" s="16" t="str">
        <f>IF(G214="","",IFERROR(VLOOKUP(G214,Listas!$D$2:$E$23,2,FALSE),""))</f>
        <v>Mario Guamán</v>
      </c>
      <c r="J214" s="59" t="s">
        <v>541</v>
      </c>
      <c r="K214" s="26"/>
      <c r="L214" s="43">
        <v>46265</v>
      </c>
      <c r="M214" s="43"/>
      <c r="N214" s="44" t="str">
        <f t="shared" ca="1" si="45"/>
        <v>EN PROCESO</v>
      </c>
      <c r="O214" s="60"/>
      <c r="P214" s="84" t="str">
        <f>IFERROR(VLOOKUP(G214,Listas!$I$2:$J$23,2,FALSE),"")</f>
        <v>'Listas'!$P$2:$P$16</v>
      </c>
    </row>
    <row r="215" spans="1:16" ht="7.65" customHeight="1">
      <c r="A215" s="26">
        <v>213</v>
      </c>
      <c r="B215" s="17">
        <v>46226</v>
      </c>
      <c r="C215" s="20" t="s">
        <v>23</v>
      </c>
      <c r="D215" s="16" t="s">
        <v>542</v>
      </c>
      <c r="E215" s="16" t="s">
        <v>507</v>
      </c>
      <c r="F215" s="16"/>
      <c r="G215" s="42" t="s">
        <v>30</v>
      </c>
      <c r="H215" s="16" t="s">
        <v>30</v>
      </c>
      <c r="I215" s="16" t="str">
        <f>IF(G215="","",IFERROR(VLOOKUP(G215,Listas!$D$2:$E$23,2,FALSE),""))</f>
        <v>Brian Sarzosa</v>
      </c>
      <c r="J215" s="59" t="s">
        <v>543</v>
      </c>
      <c r="K215" s="26"/>
      <c r="L215" s="43">
        <v>46226</v>
      </c>
      <c r="M215" s="43">
        <v>46226</v>
      </c>
      <c r="N215" s="44" t="str">
        <f t="shared" ca="1" si="45"/>
        <v>CERRADO</v>
      </c>
      <c r="O215" s="60"/>
      <c r="P215" s="84" t="str">
        <f>IFERROR(VLOOKUP(G215,Listas!$I$2:$J$23,2,FALSE),"")</f>
        <v>'Listas'!$N$2:$N$17</v>
      </c>
    </row>
    <row r="216" spans="1:16" ht="7.95" customHeight="1">
      <c r="A216" s="26">
        <v>214</v>
      </c>
      <c r="B216" s="58">
        <v>46226</v>
      </c>
      <c r="C216" s="20" t="s">
        <v>23</v>
      </c>
      <c r="D216" s="48" t="s">
        <v>544</v>
      </c>
      <c r="E216" s="48" t="s">
        <v>507</v>
      </c>
      <c r="F216" s="48"/>
      <c r="G216" s="42" t="s">
        <v>30</v>
      </c>
      <c r="H216" s="16" t="s">
        <v>30</v>
      </c>
      <c r="I216" s="48" t="str">
        <f>IF(G216="","",IFERROR(VLOOKUP(G216,Listas!$D$2:$E$23,2,FALSE),""))</f>
        <v>Brian Sarzosa</v>
      </c>
      <c r="J216" s="47" t="s">
        <v>545</v>
      </c>
      <c r="K216" s="26"/>
      <c r="L216" s="43">
        <v>46237</v>
      </c>
      <c r="M216" s="43">
        <v>46237</v>
      </c>
      <c r="N216" s="44" t="str">
        <f t="shared" ca="1" si="45"/>
        <v>CERRADO</v>
      </c>
      <c r="O216" s="57"/>
      <c r="P216" s="84" t="str">
        <f>IFERROR(VLOOKUP(G216,Listas!$I$2:$J$23,2,FALSE),"")</f>
        <v>'Listas'!$N$2:$N$17</v>
      </c>
    </row>
    <row r="217" spans="1:16" ht="11.1" customHeight="1">
      <c r="A217" s="26">
        <v>215</v>
      </c>
      <c r="B217" s="17">
        <v>46226</v>
      </c>
      <c r="C217" s="20" t="s">
        <v>23</v>
      </c>
      <c r="D217" s="16" t="s">
        <v>546</v>
      </c>
      <c r="E217" s="16" t="s">
        <v>397</v>
      </c>
      <c r="F217" s="16"/>
      <c r="G217" s="42" t="s">
        <v>57</v>
      </c>
      <c r="H217" s="16" t="s">
        <v>57</v>
      </c>
      <c r="I217" s="16" t="str">
        <f>IF(G217="","",IFERROR(VLOOKUP(G217,Listas!$D$2:$E$23,2,FALSE),""))</f>
        <v>Mario Guamán</v>
      </c>
      <c r="J217" s="16" t="s">
        <v>547</v>
      </c>
      <c r="K217" s="26"/>
      <c r="L217" s="43"/>
      <c r="M217" s="43"/>
      <c r="N217" s="44" t="str">
        <f t="shared" ca="1" si="45"/>
        <v>ABIERTO</v>
      </c>
      <c r="O217" s="16"/>
      <c r="P217" s="84" t="str">
        <f>IFERROR(VLOOKUP(G217,Listas!$I$2:$J$23,2,FALSE),"")</f>
        <v>'Listas'!$P$2:$P$16</v>
      </c>
    </row>
    <row r="218" spans="1:16" ht="9.4499999999999993" customHeight="1">
      <c r="A218" s="26">
        <v>216</v>
      </c>
      <c r="B218" s="17">
        <v>46226</v>
      </c>
      <c r="C218" s="20" t="s">
        <v>23</v>
      </c>
      <c r="D218" s="16" t="s">
        <v>548</v>
      </c>
      <c r="E218" s="16" t="s">
        <v>549</v>
      </c>
      <c r="F218" s="16"/>
      <c r="G218" s="42" t="s">
        <v>30</v>
      </c>
      <c r="H218" s="16" t="s">
        <v>386</v>
      </c>
      <c r="I218" s="16" t="str">
        <f>IF(G218="","",IFERROR(VLOOKUP(G218,Listas!$D$2:$E$23,2,FALSE),""))</f>
        <v>Brian Sarzosa</v>
      </c>
      <c r="J218" s="16" t="s">
        <v>550</v>
      </c>
      <c r="K218" s="26"/>
      <c r="L218" s="43">
        <v>46238</v>
      </c>
      <c r="M218" s="43">
        <v>46238</v>
      </c>
      <c r="N218" s="44" t="str">
        <f t="shared" ca="1" si="45"/>
        <v>CERRADO</v>
      </c>
      <c r="O218" s="16"/>
      <c r="P218" s="84" t="str">
        <f>IFERROR(VLOOKUP(G218,Listas!$I$2:$J$23,2,FALSE),"")</f>
        <v>'Listas'!$N$2:$N$17</v>
      </c>
    </row>
    <row r="219" spans="1:16" ht="7.95" customHeight="1">
      <c r="A219" s="26">
        <v>217</v>
      </c>
      <c r="B219" s="58">
        <v>46230</v>
      </c>
      <c r="C219" s="20" t="s">
        <v>23</v>
      </c>
      <c r="D219" s="47" t="s">
        <v>551</v>
      </c>
      <c r="E219" s="48" t="s">
        <v>279</v>
      </c>
      <c r="F219" s="48"/>
      <c r="G219" s="42" t="s">
        <v>69</v>
      </c>
      <c r="H219" s="48" t="s">
        <v>552</v>
      </c>
      <c r="I219" s="48" t="str">
        <f>IF(G219="","",IFERROR(VLOOKUP(G219,Listas!$D$2:$E$23,2,FALSE),""))</f>
        <v>Edison Lema</v>
      </c>
      <c r="J219" s="47" t="s">
        <v>553</v>
      </c>
      <c r="K219" s="26"/>
      <c r="L219" s="43">
        <v>46234</v>
      </c>
      <c r="M219" s="43">
        <v>46234</v>
      </c>
      <c r="N219" s="44" t="str">
        <f t="shared" ca="1" si="45"/>
        <v>CERRADO</v>
      </c>
      <c r="O219" s="57"/>
      <c r="P219" s="84" t="str">
        <f>IFERROR(VLOOKUP(G219,Listas!$I$2:$J$23,2,FALSE),"")</f>
        <v>'Listas'!$R$2:$R$16</v>
      </c>
    </row>
    <row r="220" spans="1:16" s="30" customFormat="1" ht="10.5" customHeight="1">
      <c r="A220" s="26">
        <v>218</v>
      </c>
      <c r="B220" s="17">
        <v>46230</v>
      </c>
      <c r="C220" s="20" t="s">
        <v>23</v>
      </c>
      <c r="D220" s="16" t="s">
        <v>554</v>
      </c>
      <c r="E220" s="16" t="s">
        <v>507</v>
      </c>
      <c r="F220" s="16"/>
      <c r="G220" s="42" t="s">
        <v>54</v>
      </c>
      <c r="H220" s="16" t="s">
        <v>54</v>
      </c>
      <c r="I220" s="16" t="str">
        <f>IF(G220="","",IFERROR(VLOOKUP(G220,Listas!$D$2:$E$23,2,FALSE),""))</f>
        <v>Daniel Espinoza</v>
      </c>
      <c r="J220" s="16" t="s">
        <v>555</v>
      </c>
      <c r="K220" s="26"/>
      <c r="L220" s="43">
        <v>46230</v>
      </c>
      <c r="M220" s="43">
        <v>46230</v>
      </c>
      <c r="N220" s="44" t="str">
        <f t="shared" ca="1" si="45"/>
        <v>CERRADO</v>
      </c>
      <c r="O220" s="16"/>
      <c r="P220" s="84" t="str">
        <f>IFERROR(VLOOKUP(G220,Listas!$I$2:$J$23,2,FALSE),"")</f>
        <v>'Listas'!$O$2:$O$15</v>
      </c>
    </row>
    <row r="221" spans="1:16" ht="11.1" customHeight="1">
      <c r="A221" s="26">
        <v>219</v>
      </c>
      <c r="B221" s="17">
        <v>46230</v>
      </c>
      <c r="C221" s="20" t="s">
        <v>23</v>
      </c>
      <c r="D221" s="16" t="s">
        <v>556</v>
      </c>
      <c r="E221" s="16" t="s">
        <v>30</v>
      </c>
      <c r="F221" s="16"/>
      <c r="G221" s="42" t="s">
        <v>30</v>
      </c>
      <c r="H221" s="16" t="s">
        <v>30</v>
      </c>
      <c r="I221" s="16" t="str">
        <f>IF(G221="","",IFERROR(VLOOKUP(G221,Listas!$D$2:$E$23,2,FALSE),""))</f>
        <v>Brian Sarzosa</v>
      </c>
      <c r="J221" s="16" t="s">
        <v>557</v>
      </c>
      <c r="K221" s="26"/>
      <c r="L221" s="43">
        <v>46230</v>
      </c>
      <c r="M221" s="43">
        <v>46230</v>
      </c>
      <c r="N221" s="44" t="str">
        <f t="shared" ca="1" si="45"/>
        <v>CERRADO</v>
      </c>
      <c r="O221" s="16"/>
      <c r="P221" s="84" t="str">
        <f>IFERROR(VLOOKUP(G221,Listas!$I$2:$J$23,2,FALSE),"")</f>
        <v>'Listas'!$N$2:$N$17</v>
      </c>
    </row>
    <row r="222" spans="1:16" ht="8.85" customHeight="1">
      <c r="A222" s="26">
        <v>220</v>
      </c>
      <c r="B222" s="17">
        <v>46230</v>
      </c>
      <c r="C222" s="20" t="s">
        <v>23</v>
      </c>
      <c r="D222" s="16" t="s">
        <v>558</v>
      </c>
      <c r="E222" s="16" t="s">
        <v>559</v>
      </c>
      <c r="F222" s="16"/>
      <c r="G222" s="42" t="s">
        <v>57</v>
      </c>
      <c r="H222" s="16" t="s">
        <v>560</v>
      </c>
      <c r="I222" s="16" t="str">
        <f>IF(G222="","",IFERROR(VLOOKUP(G222,Listas!$D$2:$E$23,2,FALSE),""))</f>
        <v>Mario Guamán</v>
      </c>
      <c r="J222" s="16" t="s">
        <v>561</v>
      </c>
      <c r="K222" s="26"/>
      <c r="L222" s="43"/>
      <c r="M222" s="43">
        <v>46237</v>
      </c>
      <c r="N222" s="44" t="str">
        <f t="shared" ca="1" si="45"/>
        <v>CERRADO</v>
      </c>
      <c r="O222" s="16"/>
      <c r="P222" s="84" t="str">
        <f>IFERROR(VLOOKUP(G222,Listas!$I$2:$J$23,2,FALSE),"")</f>
        <v>'Listas'!$P$2:$P$16</v>
      </c>
    </row>
    <row r="223" spans="1:16" ht="10.050000000000001" customHeight="1">
      <c r="A223" s="26">
        <v>221</v>
      </c>
      <c r="B223" s="17">
        <v>46230</v>
      </c>
      <c r="C223" s="20" t="s">
        <v>23</v>
      </c>
      <c r="D223" s="16" t="s">
        <v>562</v>
      </c>
      <c r="E223" s="16" t="s">
        <v>563</v>
      </c>
      <c r="F223" s="16"/>
      <c r="G223" s="42" t="s">
        <v>54</v>
      </c>
      <c r="H223" s="16" t="s">
        <v>54</v>
      </c>
      <c r="I223" s="16" t="str">
        <f>IF(G223="","",IFERROR(VLOOKUP(G223,Listas!$D$2:$E$23,2,FALSE),""))</f>
        <v>Daniel Espinoza</v>
      </c>
      <c r="J223" s="16" t="s">
        <v>564</v>
      </c>
      <c r="K223" s="26"/>
      <c r="L223" s="43"/>
      <c r="M223" s="43">
        <v>46234</v>
      </c>
      <c r="N223" s="44" t="str">
        <f t="shared" ca="1" si="45"/>
        <v>CERRADO</v>
      </c>
      <c r="O223" s="16"/>
      <c r="P223" s="84" t="str">
        <f>IFERROR(VLOOKUP(G223,Listas!$I$2:$J$23,2,FALSE),"")</f>
        <v>'Listas'!$O$2:$O$15</v>
      </c>
    </row>
    <row r="224" spans="1:16" ht="8.85" customHeight="1">
      <c r="A224" s="26">
        <v>222</v>
      </c>
      <c r="B224" s="17">
        <v>46231</v>
      </c>
      <c r="C224" s="20" t="s">
        <v>23</v>
      </c>
      <c r="D224" s="16" t="s">
        <v>565</v>
      </c>
      <c r="E224" s="16" t="s">
        <v>566</v>
      </c>
      <c r="F224" s="16"/>
      <c r="G224" s="42" t="s">
        <v>72</v>
      </c>
      <c r="H224" s="16" t="s">
        <v>72</v>
      </c>
      <c r="I224" s="16" t="str">
        <f>IF(G224="","",IFERROR(VLOOKUP(G224,Listas!$D$2:$E$23,2,FALSE),""))</f>
        <v>Alejandro Pesantez</v>
      </c>
      <c r="J224" s="16" t="s">
        <v>567</v>
      </c>
      <c r="K224" s="26"/>
      <c r="L224" s="43"/>
      <c r="M224" s="43">
        <v>46234</v>
      </c>
      <c r="N224" s="44" t="str">
        <f t="shared" ca="1" si="45"/>
        <v>CERRADO</v>
      </c>
      <c r="O224" s="16"/>
      <c r="P224" s="84" t="str">
        <f>IFERROR(VLOOKUP(G224,Listas!$I$2:$J$23,2,FALSE),"")</f>
        <v>'Listas'!$Q$2:$Q$10</v>
      </c>
    </row>
    <row r="225" spans="1:16" s="31" customFormat="1">
      <c r="A225" s="26">
        <v>223</v>
      </c>
      <c r="B225" s="61">
        <v>46205</v>
      </c>
      <c r="C225" s="20" t="s">
        <v>23</v>
      </c>
      <c r="D225" s="36" t="s">
        <v>568</v>
      </c>
      <c r="E225" s="36" t="s">
        <v>569</v>
      </c>
      <c r="F225" s="36"/>
      <c r="G225" s="42" t="s">
        <v>54</v>
      </c>
      <c r="H225" s="16" t="s">
        <v>54</v>
      </c>
      <c r="I225" s="36" t="str">
        <f>IF(G225="","",IFERROR(VLOOKUP(G225,Listas!$D$2:$E$23,2,FALSE),""))</f>
        <v>Daniel Espinoza</v>
      </c>
      <c r="J225" s="36" t="s">
        <v>570</v>
      </c>
      <c r="K225" s="26"/>
      <c r="L225" s="33"/>
      <c r="M225" s="55">
        <f>B225+5</f>
        <v>46210</v>
      </c>
      <c r="N225" s="42" t="str">
        <f t="shared" ref="N225" ca="1" si="46">IF(M225&lt;TODAY(),"CERRADO","ABIERTO")</f>
        <v>CERRADO</v>
      </c>
      <c r="O225" s="36"/>
      <c r="P225" s="84" t="str">
        <f>IFERROR(VLOOKUP(G225,Listas!$I$2:$J$23,2,FALSE),"")</f>
        <v>'Listas'!$O$2:$O$15</v>
      </c>
    </row>
    <row r="226" spans="1:16" ht="5.0999999999999996" customHeight="1">
      <c r="A226" s="26">
        <v>224</v>
      </c>
      <c r="B226" s="17">
        <v>46205</v>
      </c>
      <c r="C226" s="20" t="s">
        <v>23</v>
      </c>
      <c r="D226" s="16" t="s">
        <v>289</v>
      </c>
      <c r="E226" s="16" t="s">
        <v>566</v>
      </c>
      <c r="F226" s="16"/>
      <c r="G226" s="42" t="s">
        <v>69</v>
      </c>
      <c r="H226" s="16" t="s">
        <v>312</v>
      </c>
      <c r="I226" s="16" t="str">
        <f>IF(G226="","",IFERROR(VLOOKUP(G226,Listas!$D$2:$E$23,2,FALSE),""))</f>
        <v>Edison Lema</v>
      </c>
      <c r="J226" s="16" t="s">
        <v>571</v>
      </c>
      <c r="K226" s="26"/>
      <c r="L226" s="43"/>
      <c r="M226" s="43">
        <v>46234</v>
      </c>
      <c r="N226" s="44" t="str">
        <f t="shared" ref="N226:N228" ca="1" si="47">IF(M226&lt;&gt;"","CERRADO",IF(L226&gt;TODAY(),"EN PROCESO",IF(M226="","ABIERTO")))</f>
        <v>CERRADO</v>
      </c>
      <c r="O226" s="16"/>
      <c r="P226" s="84" t="str">
        <f>IFERROR(VLOOKUP(G226,Listas!$I$2:$J$23,2,FALSE),"")</f>
        <v>'Listas'!$R$2:$R$16</v>
      </c>
    </row>
    <row r="227" spans="1:16" ht="4.95" customHeight="1">
      <c r="A227" s="26">
        <v>225</v>
      </c>
      <c r="B227" s="14">
        <v>46205</v>
      </c>
      <c r="C227" s="20" t="s">
        <v>16</v>
      </c>
      <c r="D227" s="15" t="s">
        <v>572</v>
      </c>
      <c r="E227" s="15" t="s">
        <v>573</v>
      </c>
      <c r="F227" s="15"/>
      <c r="G227" s="26" t="s">
        <v>57</v>
      </c>
      <c r="H227" s="15" t="s">
        <v>57</v>
      </c>
      <c r="I227" s="15" t="str">
        <f>IF(G227="","",IFERROR(VLOOKUP(G227,Listas!$D$2:$E$23,2,FALSE),""))</f>
        <v>Mario Guamán</v>
      </c>
      <c r="J227" s="15" t="s">
        <v>574</v>
      </c>
      <c r="K227" s="26"/>
      <c r="L227" s="8">
        <v>46205</v>
      </c>
      <c r="M227" s="8">
        <v>46205</v>
      </c>
      <c r="N227" s="10" t="str">
        <f t="shared" ca="1" si="47"/>
        <v>CERRADO</v>
      </c>
      <c r="O227" s="15"/>
      <c r="P227" s="84" t="str">
        <f>IFERROR(VLOOKUP(G227,Listas!$I$2:$J$23,2,FALSE),"")</f>
        <v>'Listas'!$P$2:$P$16</v>
      </c>
    </row>
    <row r="228" spans="1:16" ht="7.95" customHeight="1">
      <c r="A228" s="26">
        <v>226</v>
      </c>
      <c r="B228" s="17">
        <v>46205</v>
      </c>
      <c r="C228" s="20" t="s">
        <v>23</v>
      </c>
      <c r="D228" s="16" t="s">
        <v>575</v>
      </c>
      <c r="E228" s="16" t="s">
        <v>576</v>
      </c>
      <c r="F228" s="16"/>
      <c r="G228" s="42" t="s">
        <v>30</v>
      </c>
      <c r="H228" s="16" t="s">
        <v>30</v>
      </c>
      <c r="I228" s="16" t="str">
        <f>IF(G228="","",IFERROR(VLOOKUP(G228,Listas!$D$2:$E$23,2,FALSE),""))</f>
        <v>Brian Sarzosa</v>
      </c>
      <c r="J228" s="16" t="s">
        <v>577</v>
      </c>
      <c r="K228" s="26"/>
      <c r="L228" s="43"/>
      <c r="M228" s="43"/>
      <c r="N228" s="44" t="str">
        <f t="shared" ca="1" si="47"/>
        <v>ABIERTO</v>
      </c>
      <c r="O228" s="16"/>
      <c r="P228" s="84" t="str">
        <f>IFERROR(VLOOKUP(G228,Listas!$I$2:$J$23,2,FALSE),"")</f>
        <v>'Listas'!$N$2:$N$17</v>
      </c>
    </row>
    <row r="229" spans="1:16" ht="9.4499999999999993" customHeight="1">
      <c r="A229" s="26">
        <v>227</v>
      </c>
      <c r="B229" s="61">
        <v>46205</v>
      </c>
      <c r="C229" s="20" t="s">
        <v>23</v>
      </c>
      <c r="D229" s="36" t="s">
        <v>578</v>
      </c>
      <c r="E229" s="36" t="s">
        <v>579</v>
      </c>
      <c r="F229" s="36"/>
      <c r="G229" s="42" t="s">
        <v>30</v>
      </c>
      <c r="H229" s="16" t="s">
        <v>30</v>
      </c>
      <c r="I229" s="36" t="str">
        <f>IF(G229="","",IFERROR(VLOOKUP(G229,Listas!$D$2:$E$23,2,FALSE),""))</f>
        <v>Brian Sarzosa</v>
      </c>
      <c r="J229" s="36" t="s">
        <v>580</v>
      </c>
      <c r="K229" s="26"/>
      <c r="L229" s="33"/>
      <c r="M229" s="55">
        <f>B229+5</f>
        <v>46210</v>
      </c>
      <c r="N229" s="42" t="str">
        <f t="shared" ref="N229" ca="1" si="48">IF(M229&lt;TODAY(),"CERRADO","ABIERTO")</f>
        <v>CERRADO</v>
      </c>
      <c r="O229" s="36"/>
      <c r="P229" s="84" t="str">
        <f>IFERROR(VLOOKUP(G229,Listas!$I$2:$J$23,2,FALSE),"")</f>
        <v>'Listas'!$N$2:$N$17</v>
      </c>
    </row>
    <row r="230" spans="1:16" ht="8.25" customHeight="1">
      <c r="A230" s="26">
        <v>228</v>
      </c>
      <c r="B230" s="17">
        <v>46209</v>
      </c>
      <c r="C230" s="20" t="s">
        <v>23</v>
      </c>
      <c r="D230" s="16" t="s">
        <v>581</v>
      </c>
      <c r="E230" s="16" t="s">
        <v>582</v>
      </c>
      <c r="F230" s="16"/>
      <c r="G230" s="42" t="s">
        <v>20</v>
      </c>
      <c r="H230" s="16" t="s">
        <v>157</v>
      </c>
      <c r="I230" s="16" t="str">
        <f>IF(G230="","",IFERROR(VLOOKUP(G230,Listas!$D$2:$E$23,2,FALSE),""))</f>
        <v>Pablo Velasco</v>
      </c>
      <c r="J230" s="16" t="s">
        <v>583</v>
      </c>
      <c r="K230" s="26"/>
      <c r="L230" s="43"/>
      <c r="M230" s="43"/>
      <c r="N230" s="44" t="str">
        <f t="shared" ref="N230:N237" ca="1" si="49">IF(M230&lt;&gt;"","CERRADO",IF(L230&gt;TODAY(),"EN PROCESO",IF(M230="","ABIERTO")))</f>
        <v>ABIERTO</v>
      </c>
      <c r="O230" s="16"/>
      <c r="P230" s="84" t="str">
        <f>IFERROR(VLOOKUP(G230,Listas!$I$2:$J$23,2,FALSE),"")</f>
        <v>'Listas'!$M$2:$M$19</v>
      </c>
    </row>
    <row r="231" spans="1:16" ht="7.65" customHeight="1">
      <c r="A231" s="26">
        <v>229</v>
      </c>
      <c r="B231" s="17">
        <v>46209</v>
      </c>
      <c r="C231" s="20" t="s">
        <v>23</v>
      </c>
      <c r="D231" s="16" t="s">
        <v>584</v>
      </c>
      <c r="E231" s="16" t="s">
        <v>585</v>
      </c>
      <c r="F231" s="16"/>
      <c r="G231" s="42" t="s">
        <v>30</v>
      </c>
      <c r="H231" s="16" t="s">
        <v>30</v>
      </c>
      <c r="I231" s="16" t="str">
        <f>IF(G231="","",IFERROR(VLOOKUP(G231,Listas!$D$2:$E$23,2,FALSE),""))</f>
        <v>Brian Sarzosa</v>
      </c>
      <c r="J231" s="16" t="s">
        <v>586</v>
      </c>
      <c r="K231" s="26"/>
      <c r="L231" s="43">
        <v>46209</v>
      </c>
      <c r="M231" s="43">
        <v>46209</v>
      </c>
      <c r="N231" s="44" t="str">
        <f t="shared" ca="1" si="49"/>
        <v>CERRADO</v>
      </c>
      <c r="O231" s="16"/>
      <c r="P231" s="84" t="str">
        <f>IFERROR(VLOOKUP(G231,Listas!$I$2:$J$23,2,FALSE),"")</f>
        <v>'Listas'!$N$2:$N$17</v>
      </c>
    </row>
    <row r="232" spans="1:16" ht="14.4" customHeight="1">
      <c r="A232" s="26">
        <v>230</v>
      </c>
      <c r="B232" s="14">
        <v>46209</v>
      </c>
      <c r="C232" s="20" t="s">
        <v>16</v>
      </c>
      <c r="D232" s="15" t="s">
        <v>587</v>
      </c>
      <c r="E232" s="15" t="s">
        <v>588</v>
      </c>
      <c r="F232" s="15"/>
      <c r="G232" s="26" t="s">
        <v>20</v>
      </c>
      <c r="H232" s="15"/>
      <c r="I232" s="15" t="str">
        <f>IF(G232="","",IFERROR(VLOOKUP(G232,Listas!$D$2:$E$23,2,FALSE),""))</f>
        <v>Pablo Velasco</v>
      </c>
      <c r="J232" s="15" t="s">
        <v>525</v>
      </c>
      <c r="K232" s="26"/>
      <c r="L232" s="8">
        <v>46209</v>
      </c>
      <c r="M232" s="8">
        <v>46209</v>
      </c>
      <c r="N232" s="10" t="str">
        <f t="shared" ca="1" si="49"/>
        <v>CERRADO</v>
      </c>
      <c r="O232" s="15"/>
      <c r="P232" s="84" t="str">
        <f>IFERROR(VLOOKUP(G232,Listas!$I$2:$J$23,2,FALSE),"")</f>
        <v>'Listas'!$M$2:$M$19</v>
      </c>
    </row>
    <row r="233" spans="1:16" ht="7.05" customHeight="1">
      <c r="A233" s="26">
        <v>231</v>
      </c>
      <c r="B233" s="17">
        <v>46209</v>
      </c>
      <c r="C233" s="20" t="s">
        <v>23</v>
      </c>
      <c r="D233" s="16" t="s">
        <v>589</v>
      </c>
      <c r="E233" s="16" t="s">
        <v>393</v>
      </c>
      <c r="F233" s="16"/>
      <c r="G233" s="42" t="s">
        <v>57</v>
      </c>
      <c r="H233" s="16" t="s">
        <v>58</v>
      </c>
      <c r="I233" s="16" t="str">
        <f>IF(G233="","",IFERROR(VLOOKUP(G233,Listas!$D$2:$E$23,2,FALSE),""))</f>
        <v>Mario Guamán</v>
      </c>
      <c r="J233" s="16" t="s">
        <v>535</v>
      </c>
      <c r="K233" s="26"/>
      <c r="L233" s="43"/>
      <c r="M233" s="43">
        <v>46209</v>
      </c>
      <c r="N233" s="44" t="str">
        <f t="shared" ca="1" si="49"/>
        <v>CERRADO</v>
      </c>
      <c r="O233" s="16"/>
      <c r="P233" s="84" t="str">
        <f>IFERROR(VLOOKUP(G233,Listas!$I$2:$J$23,2,FALSE),"")</f>
        <v>'Listas'!$P$2:$P$16</v>
      </c>
    </row>
    <row r="234" spans="1:16" ht="7.05" customHeight="1">
      <c r="A234" s="26">
        <v>232</v>
      </c>
      <c r="B234" s="17">
        <v>46210</v>
      </c>
      <c r="C234" s="20" t="s">
        <v>23</v>
      </c>
      <c r="D234" s="16" t="s">
        <v>590</v>
      </c>
      <c r="E234" s="16" t="s">
        <v>566</v>
      </c>
      <c r="F234" s="16"/>
      <c r="G234" s="42" t="s">
        <v>69</v>
      </c>
      <c r="H234" s="16" t="s">
        <v>312</v>
      </c>
      <c r="I234" s="16" t="str">
        <f>IF(G234="","",IFERROR(VLOOKUP(G234,Listas!$D$2:$E$23,2,FALSE),""))</f>
        <v>Edison Lema</v>
      </c>
      <c r="J234" s="16" t="s">
        <v>591</v>
      </c>
      <c r="K234" s="26"/>
      <c r="L234" s="43">
        <v>46210</v>
      </c>
      <c r="M234" s="43">
        <v>46210</v>
      </c>
      <c r="N234" s="44" t="str">
        <f t="shared" ca="1" si="49"/>
        <v>CERRADO</v>
      </c>
      <c r="O234" s="16"/>
      <c r="P234" s="84" t="str">
        <f>IFERROR(VLOOKUP(G234,Listas!$I$2:$J$23,2,FALSE),"")</f>
        <v>'Listas'!$R$2:$R$16</v>
      </c>
    </row>
    <row r="235" spans="1:16" ht="6.45" customHeight="1">
      <c r="A235" s="26">
        <v>233</v>
      </c>
      <c r="B235" s="17">
        <v>46210</v>
      </c>
      <c r="C235" s="20" t="s">
        <v>23</v>
      </c>
      <c r="D235" s="16" t="s">
        <v>592</v>
      </c>
      <c r="E235" s="16" t="s">
        <v>593</v>
      </c>
      <c r="F235" s="16"/>
      <c r="G235" s="42" t="s">
        <v>54</v>
      </c>
      <c r="H235" s="16" t="s">
        <v>54</v>
      </c>
      <c r="I235" s="16" t="str">
        <f>IF(G235="","",IFERROR(VLOOKUP(G235,Listas!$D$2:$E$23,2,FALSE),""))</f>
        <v>Daniel Espinoza</v>
      </c>
      <c r="J235" s="16" t="s">
        <v>594</v>
      </c>
      <c r="K235" s="26"/>
      <c r="L235" s="43">
        <v>46210</v>
      </c>
      <c r="M235" s="43">
        <v>46210</v>
      </c>
      <c r="N235" s="44" t="str">
        <f t="shared" ca="1" si="49"/>
        <v>CERRADO</v>
      </c>
      <c r="O235" s="16"/>
      <c r="P235" s="84" t="str">
        <f>IFERROR(VLOOKUP(G235,Listas!$I$2:$J$23,2,FALSE),"")</f>
        <v>'Listas'!$O$2:$O$15</v>
      </c>
    </row>
    <row r="236" spans="1:16" ht="6.15" customHeight="1">
      <c r="A236" s="26">
        <v>234</v>
      </c>
      <c r="B236" s="17">
        <v>46210</v>
      </c>
      <c r="C236" s="20" t="s">
        <v>23</v>
      </c>
      <c r="D236" s="16" t="s">
        <v>595</v>
      </c>
      <c r="E236" s="16" t="s">
        <v>596</v>
      </c>
      <c r="F236" s="16"/>
      <c r="G236" s="42" t="s">
        <v>54</v>
      </c>
      <c r="H236" s="16" t="s">
        <v>54</v>
      </c>
      <c r="I236" s="16" t="str">
        <f>IF(G236="","",IFERROR(VLOOKUP(G236,Listas!$D$2:$E$23,2,FALSE),""))</f>
        <v>Daniel Espinoza</v>
      </c>
      <c r="J236" s="16" t="s">
        <v>597</v>
      </c>
      <c r="K236" s="26"/>
      <c r="L236" s="43">
        <v>46210</v>
      </c>
      <c r="M236" s="43">
        <v>46210</v>
      </c>
      <c r="N236" s="44" t="str">
        <f t="shared" ca="1" si="49"/>
        <v>CERRADO</v>
      </c>
      <c r="O236" s="16"/>
      <c r="P236" s="84" t="str">
        <f>IFERROR(VLOOKUP(G236,Listas!$I$2:$J$23,2,FALSE),"")</f>
        <v>'Listas'!$O$2:$O$15</v>
      </c>
    </row>
    <row r="237" spans="1:16">
      <c r="A237" s="26">
        <v>235</v>
      </c>
      <c r="B237" s="17">
        <v>46210</v>
      </c>
      <c r="C237" s="20" t="s">
        <v>23</v>
      </c>
      <c r="D237" s="16" t="s">
        <v>598</v>
      </c>
      <c r="E237" s="16" t="s">
        <v>566</v>
      </c>
      <c r="F237" s="16"/>
      <c r="G237" s="42" t="s">
        <v>54</v>
      </c>
      <c r="H237" s="16" t="s">
        <v>54</v>
      </c>
      <c r="I237" s="16" t="str">
        <f>IF(G237="","",IFERROR(VLOOKUP(G237,Listas!$D$2:$E$23,2,FALSE),""))</f>
        <v>Daniel Espinoza</v>
      </c>
      <c r="J237" s="16" t="s">
        <v>547</v>
      </c>
      <c r="K237" s="26"/>
      <c r="L237" s="43">
        <v>46210</v>
      </c>
      <c r="M237" s="43">
        <v>46210</v>
      </c>
      <c r="N237" s="44" t="str">
        <f t="shared" ca="1" si="49"/>
        <v>CERRADO</v>
      </c>
      <c r="O237" s="16"/>
      <c r="P237" s="84" t="str">
        <f>IFERROR(VLOOKUP(G237,Listas!$I$2:$J$23,2,FALSE),"")</f>
        <v>'Listas'!$O$2:$O$15</v>
      </c>
    </row>
    <row r="238" spans="1:16">
      <c r="A238" s="26">
        <v>236</v>
      </c>
      <c r="B238" s="61">
        <v>46210</v>
      </c>
      <c r="C238" s="20" t="s">
        <v>23</v>
      </c>
      <c r="D238" s="36" t="s">
        <v>558</v>
      </c>
      <c r="E238" s="36" t="s">
        <v>393</v>
      </c>
      <c r="F238" s="36"/>
      <c r="G238" s="42" t="s">
        <v>57</v>
      </c>
      <c r="H238" s="16" t="s">
        <v>58</v>
      </c>
      <c r="I238" s="36" t="str">
        <f>IF(G238="","",IFERROR(VLOOKUP(G238,Listas!$D$2:$E$23,2,FALSE),""))</f>
        <v>Mario Guamán</v>
      </c>
      <c r="J238" s="36" t="s">
        <v>561</v>
      </c>
      <c r="K238" s="26"/>
      <c r="L238" s="33"/>
      <c r="M238" s="55">
        <f t="shared" ref="M238:M241" si="50">B238+5</f>
        <v>46215</v>
      </c>
      <c r="N238" s="42" t="str">
        <f t="shared" ref="N238:N241" ca="1" si="51">IF(M238&lt;TODAY(),"CERRADO","ABIERTO")</f>
        <v>CERRADO</v>
      </c>
      <c r="O238" s="36"/>
      <c r="P238" s="84" t="str">
        <f>IFERROR(VLOOKUP(G238,Listas!$I$2:$J$23,2,FALSE),"")</f>
        <v>'Listas'!$P$2:$P$16</v>
      </c>
    </row>
    <row r="239" spans="1:16">
      <c r="A239" s="26">
        <v>237</v>
      </c>
      <c r="B239" s="61">
        <v>46210</v>
      </c>
      <c r="C239" s="20" t="s">
        <v>23</v>
      </c>
      <c r="D239" s="36" t="s">
        <v>548</v>
      </c>
      <c r="E239" s="36" t="s">
        <v>549</v>
      </c>
      <c r="F239" s="36"/>
      <c r="G239" s="42" t="s">
        <v>57</v>
      </c>
      <c r="H239" s="16" t="s">
        <v>58</v>
      </c>
      <c r="I239" s="36" t="str">
        <f>IF(G239="","",IFERROR(VLOOKUP(G239,Listas!$D$2:$E$23,2,FALSE),""))</f>
        <v>Mario Guamán</v>
      </c>
      <c r="J239" s="36" t="s">
        <v>550</v>
      </c>
      <c r="K239" s="26"/>
      <c r="L239" s="33"/>
      <c r="M239" s="55">
        <f t="shared" si="50"/>
        <v>46215</v>
      </c>
      <c r="N239" s="42" t="str">
        <f t="shared" ca="1" si="51"/>
        <v>CERRADO</v>
      </c>
      <c r="O239" s="36"/>
      <c r="P239" s="84" t="str">
        <f>IFERROR(VLOOKUP(G239,Listas!$I$2:$J$23,2,FALSE),"")</f>
        <v>'Listas'!$P$2:$P$16</v>
      </c>
    </row>
    <row r="240" spans="1:16">
      <c r="A240" s="26">
        <v>238</v>
      </c>
      <c r="B240" s="61">
        <v>46210</v>
      </c>
      <c r="C240" s="20" t="s">
        <v>23</v>
      </c>
      <c r="D240" s="36" t="s">
        <v>599</v>
      </c>
      <c r="E240" s="36" t="s">
        <v>593</v>
      </c>
      <c r="F240" s="36"/>
      <c r="G240" s="42" t="s">
        <v>30</v>
      </c>
      <c r="H240" s="16" t="s">
        <v>30</v>
      </c>
      <c r="I240" s="36" t="str">
        <f>IF(G240="","",IFERROR(VLOOKUP(G240,Listas!$D$2:$E$23,2,FALSE),""))</f>
        <v>Brian Sarzosa</v>
      </c>
      <c r="J240" s="36" t="s">
        <v>547</v>
      </c>
      <c r="K240" s="26"/>
      <c r="L240" s="33"/>
      <c r="M240" s="55">
        <f t="shared" si="50"/>
        <v>46215</v>
      </c>
      <c r="N240" s="42" t="str">
        <f t="shared" ca="1" si="51"/>
        <v>CERRADO</v>
      </c>
      <c r="O240" s="36"/>
      <c r="P240" s="84" t="str">
        <f>IFERROR(VLOOKUP(G240,Listas!$I$2:$J$23,2,FALSE),"")</f>
        <v>'Listas'!$N$2:$N$17</v>
      </c>
    </row>
    <row r="241" spans="1:16">
      <c r="A241" s="26">
        <v>239</v>
      </c>
      <c r="B241" s="61">
        <v>46210</v>
      </c>
      <c r="C241" s="20" t="s">
        <v>23</v>
      </c>
      <c r="D241" s="36" t="s">
        <v>600</v>
      </c>
      <c r="E241" s="36" t="s">
        <v>593</v>
      </c>
      <c r="F241" s="36"/>
      <c r="G241" s="42" t="s">
        <v>54</v>
      </c>
      <c r="H241" s="16" t="s">
        <v>601</v>
      </c>
      <c r="I241" s="36" t="str">
        <f>IF(G241="","",IFERROR(VLOOKUP(G241,Listas!$D$2:$E$23,2,FALSE),""))</f>
        <v>Daniel Espinoza</v>
      </c>
      <c r="J241" s="36" t="s">
        <v>547</v>
      </c>
      <c r="K241" s="26"/>
      <c r="L241" s="33"/>
      <c r="M241" s="55">
        <f t="shared" si="50"/>
        <v>46215</v>
      </c>
      <c r="N241" s="42" t="str">
        <f t="shared" ca="1" si="51"/>
        <v>CERRADO</v>
      </c>
      <c r="O241" s="36"/>
      <c r="P241" s="84" t="str">
        <f>IFERROR(VLOOKUP(G241,Listas!$I$2:$J$23,2,FALSE),"")</f>
        <v>'Listas'!$O$2:$O$15</v>
      </c>
    </row>
    <row r="242" spans="1:16" ht="5.85" customHeight="1">
      <c r="A242" s="26">
        <v>240</v>
      </c>
      <c r="B242" s="17">
        <v>46210</v>
      </c>
      <c r="C242" s="20" t="s">
        <v>23</v>
      </c>
      <c r="D242" s="16" t="s">
        <v>289</v>
      </c>
      <c r="E242" s="16" t="s">
        <v>566</v>
      </c>
      <c r="F242" s="16"/>
      <c r="G242" s="42" t="s">
        <v>69</v>
      </c>
      <c r="H242" s="16" t="s">
        <v>312</v>
      </c>
      <c r="I242" s="16" t="str">
        <f>IF(G242="","",IFERROR(VLOOKUP(G242,Listas!$D$2:$E$23,2,FALSE),""))</f>
        <v>Edison Lema</v>
      </c>
      <c r="J242" s="16" t="s">
        <v>571</v>
      </c>
      <c r="K242" s="26"/>
      <c r="L242" s="43"/>
      <c r="M242" s="43">
        <v>46234</v>
      </c>
      <c r="N242" s="44" t="str">
        <f ca="1">IF(M242&lt;&gt;"","CERRADO",IF(L242&gt;TODAY(),"EN PROCESO",IF(M242="","ABIERTO")))</f>
        <v>CERRADO</v>
      </c>
      <c r="O242" s="16"/>
      <c r="P242" s="84" t="str">
        <f>IFERROR(VLOOKUP(G242,Listas!$I$2:$J$23,2,FALSE),"")</f>
        <v>'Listas'!$R$2:$R$16</v>
      </c>
    </row>
    <row r="243" spans="1:16">
      <c r="A243" s="26">
        <v>241</v>
      </c>
      <c r="B243" s="61">
        <v>46210</v>
      </c>
      <c r="C243" s="20" t="s">
        <v>23</v>
      </c>
      <c r="D243" s="36" t="s">
        <v>602</v>
      </c>
      <c r="E243" s="36" t="s">
        <v>596</v>
      </c>
      <c r="F243" s="36"/>
      <c r="G243" s="42" t="s">
        <v>30</v>
      </c>
      <c r="H243" s="16" t="s">
        <v>30</v>
      </c>
      <c r="I243" s="36" t="str">
        <f>IF(G243="","",IFERROR(VLOOKUP(G243,Listas!$D$2:$E$23,2,FALSE),""))</f>
        <v>Brian Sarzosa</v>
      </c>
      <c r="J243" s="36" t="s">
        <v>603</v>
      </c>
      <c r="K243" s="26"/>
      <c r="L243" s="33"/>
      <c r="M243" s="55">
        <f>B243+5</f>
        <v>46215</v>
      </c>
      <c r="N243" s="42" t="str">
        <f t="shared" ref="N243" ca="1" si="52">IF(M243&lt;TODAY(),"CERRADO","ABIERTO")</f>
        <v>CERRADO</v>
      </c>
      <c r="O243" s="36"/>
      <c r="P243" s="84" t="str">
        <f>IFERROR(VLOOKUP(G243,Listas!$I$2:$J$23,2,FALSE),"")</f>
        <v>'Listas'!$N$2:$N$17</v>
      </c>
    </row>
    <row r="244" spans="1:16">
      <c r="A244" s="26">
        <v>242</v>
      </c>
      <c r="B244" s="61">
        <v>46210</v>
      </c>
      <c r="C244" s="20" t="s">
        <v>23</v>
      </c>
      <c r="D244" s="36" t="s">
        <v>558</v>
      </c>
      <c r="E244" s="36" t="s">
        <v>604</v>
      </c>
      <c r="F244" s="36"/>
      <c r="G244" s="42" t="s">
        <v>57</v>
      </c>
      <c r="H244" s="16" t="s">
        <v>57</v>
      </c>
      <c r="I244" s="36" t="str">
        <f>IF(G244="","",IFERROR(VLOOKUP(G244,Listas!$D$2:$E$23,2,FALSE),""))</f>
        <v>Mario Guamán</v>
      </c>
      <c r="J244" s="36" t="s">
        <v>605</v>
      </c>
      <c r="K244" s="26"/>
      <c r="L244" s="33"/>
      <c r="M244" s="55">
        <f t="shared" ref="M244:M245" si="53">B244+5</f>
        <v>46215</v>
      </c>
      <c r="N244" s="42" t="str">
        <f t="shared" ref="N244:N245" ca="1" si="54">IF(M244&lt;TODAY(),"CERRADO","ABIERTO")</f>
        <v>CERRADO</v>
      </c>
      <c r="O244" s="36"/>
      <c r="P244" s="84" t="str">
        <f>IFERROR(VLOOKUP(G244,Listas!$I$2:$J$23,2,FALSE),"")</f>
        <v>'Listas'!$P$2:$P$16</v>
      </c>
    </row>
    <row r="245" spans="1:16">
      <c r="A245" s="26">
        <v>243</v>
      </c>
      <c r="B245" s="61">
        <v>46210</v>
      </c>
      <c r="C245" s="20" t="s">
        <v>23</v>
      </c>
      <c r="D245" s="36" t="s">
        <v>606</v>
      </c>
      <c r="E245" s="36"/>
      <c r="F245" s="36"/>
      <c r="G245" s="42" t="s">
        <v>30</v>
      </c>
      <c r="H245" s="16" t="s">
        <v>30</v>
      </c>
      <c r="I245" s="36" t="str">
        <f>IF(G245="","",IFERROR(VLOOKUP(G245,Listas!$D$2:$E$23,2,FALSE),""))</f>
        <v>Brian Sarzosa</v>
      </c>
      <c r="J245" s="36" t="s">
        <v>607</v>
      </c>
      <c r="K245" s="26"/>
      <c r="L245" s="33"/>
      <c r="M245" s="55">
        <f t="shared" si="53"/>
        <v>46215</v>
      </c>
      <c r="N245" s="42" t="str">
        <f t="shared" ca="1" si="54"/>
        <v>CERRADO</v>
      </c>
      <c r="O245" s="36"/>
      <c r="P245" s="84" t="str">
        <f>IFERROR(VLOOKUP(G245,Listas!$I$2:$J$23,2,FALSE),"")</f>
        <v>'Listas'!$N$2:$N$17</v>
      </c>
    </row>
    <row r="246" spans="1:16" ht="7.95" customHeight="1">
      <c r="A246" s="26">
        <v>244</v>
      </c>
      <c r="B246" s="17">
        <v>46211</v>
      </c>
      <c r="C246" s="20" t="s">
        <v>23</v>
      </c>
      <c r="D246" s="16" t="s">
        <v>608</v>
      </c>
      <c r="E246" s="19" t="s">
        <v>609</v>
      </c>
      <c r="F246" s="16"/>
      <c r="G246" s="42" t="s">
        <v>30</v>
      </c>
      <c r="H246" s="16" t="s">
        <v>300</v>
      </c>
      <c r="I246" s="16" t="str">
        <f>IF(G246="","",IFERROR(VLOOKUP(G246,Listas!$D$2:$E$23,2,FALSE),""))</f>
        <v>Brian Sarzosa</v>
      </c>
      <c r="J246" s="16" t="s">
        <v>547</v>
      </c>
      <c r="K246" s="26"/>
      <c r="L246" s="43"/>
      <c r="M246" s="43">
        <v>46211</v>
      </c>
      <c r="N246" s="44" t="str">
        <f t="shared" ref="N246:N249" ca="1" si="55">IF(M246&lt;&gt;"","CERRADO",IF(L246&gt;TODAY(),"EN PROCESO",IF(M246="","ABIERTO")))</f>
        <v>CERRADO</v>
      </c>
      <c r="O246" s="16"/>
      <c r="P246" s="84" t="str">
        <f>IFERROR(VLOOKUP(G246,Listas!$I$2:$J$23,2,FALSE),"")</f>
        <v>'Listas'!$N$2:$N$17</v>
      </c>
    </row>
    <row r="247" spans="1:16" ht="6.45" customHeight="1">
      <c r="A247" s="26">
        <v>245</v>
      </c>
      <c r="B247" s="17">
        <v>46211</v>
      </c>
      <c r="C247" s="20" t="s">
        <v>23</v>
      </c>
      <c r="D247" s="16" t="s">
        <v>608</v>
      </c>
      <c r="E247" s="16" t="s">
        <v>609</v>
      </c>
      <c r="F247" s="16"/>
      <c r="G247" s="42" t="s">
        <v>69</v>
      </c>
      <c r="H247" s="16" t="s">
        <v>312</v>
      </c>
      <c r="I247" s="16" t="str">
        <f>IF(G247="","",IFERROR(VLOOKUP(G247,Listas!$D$2:$E$23,2,FALSE),""))</f>
        <v>Edison Lema</v>
      </c>
      <c r="J247" s="16" t="s">
        <v>547</v>
      </c>
      <c r="K247" s="16"/>
      <c r="L247" s="43"/>
      <c r="M247" s="43">
        <v>46211</v>
      </c>
      <c r="N247" s="44" t="str">
        <f t="shared" ca="1" si="55"/>
        <v>CERRADO</v>
      </c>
      <c r="O247" s="16"/>
      <c r="P247" s="84" t="str">
        <f>IFERROR(VLOOKUP(G247,Listas!$I$2:$J$23,2,FALSE),"")</f>
        <v>'Listas'!$R$2:$R$16</v>
      </c>
    </row>
    <row r="248" spans="1:16" ht="13.95" customHeight="1">
      <c r="A248" s="26">
        <v>246</v>
      </c>
      <c r="B248" s="17">
        <v>46211</v>
      </c>
      <c r="C248" s="20" t="s">
        <v>23</v>
      </c>
      <c r="D248" s="16" t="s">
        <v>610</v>
      </c>
      <c r="E248" s="16" t="s">
        <v>596</v>
      </c>
      <c r="F248" s="16"/>
      <c r="G248" s="42" t="s">
        <v>30</v>
      </c>
      <c r="H248" s="16" t="s">
        <v>30</v>
      </c>
      <c r="I248" s="16" t="str">
        <f>IF(G248="","",IFERROR(VLOOKUP(G248,Listas!$D$2:$E$23,2,FALSE),""))</f>
        <v>Brian Sarzosa</v>
      </c>
      <c r="J248" s="16" t="s">
        <v>611</v>
      </c>
      <c r="K248" s="16"/>
      <c r="L248" s="43"/>
      <c r="M248" s="43"/>
      <c r="N248" s="44" t="str">
        <f t="shared" ca="1" si="55"/>
        <v>ABIERTO</v>
      </c>
      <c r="O248" s="16"/>
      <c r="P248" s="84" t="str">
        <f>IFERROR(VLOOKUP(G248,Listas!$I$2:$J$23,2,FALSE),"")</f>
        <v>'Listas'!$N$2:$N$17</v>
      </c>
    </row>
    <row r="249" spans="1:16" ht="11.7" customHeight="1">
      <c r="A249" s="26">
        <v>247</v>
      </c>
      <c r="B249" s="17">
        <v>46211</v>
      </c>
      <c r="C249" s="20" t="s">
        <v>23</v>
      </c>
      <c r="D249" s="16" t="s">
        <v>612</v>
      </c>
      <c r="E249" s="16" t="s">
        <v>593</v>
      </c>
      <c r="F249" s="16"/>
      <c r="G249" s="42" t="s">
        <v>20</v>
      </c>
      <c r="H249" s="16" t="s">
        <v>157</v>
      </c>
      <c r="I249" s="16" t="str">
        <f>IF(G249="","",IFERROR(VLOOKUP(G249,Listas!$D$2:$E$23,2,FALSE),""))</f>
        <v>Pablo Velasco</v>
      </c>
      <c r="J249" s="16" t="s">
        <v>613</v>
      </c>
      <c r="K249" s="16"/>
      <c r="L249" s="43"/>
      <c r="M249" s="43">
        <v>46238</v>
      </c>
      <c r="N249" s="44" t="str">
        <f t="shared" ca="1" si="55"/>
        <v>CERRADO</v>
      </c>
      <c r="O249" s="16"/>
      <c r="P249" s="84" t="str">
        <f>IFERROR(VLOOKUP(G249,Listas!$I$2:$J$23,2,FALSE),"")</f>
        <v>'Listas'!$M$2:$M$19</v>
      </c>
    </row>
    <row r="250" spans="1:16">
      <c r="A250" s="26">
        <v>248</v>
      </c>
      <c r="B250" s="61">
        <v>46212</v>
      </c>
      <c r="C250" s="20" t="s">
        <v>23</v>
      </c>
      <c r="D250" s="36" t="s">
        <v>473</v>
      </c>
      <c r="E250" s="36" t="s">
        <v>614</v>
      </c>
      <c r="F250" s="36"/>
      <c r="G250" s="42" t="s">
        <v>30</v>
      </c>
      <c r="H250" s="36" t="s">
        <v>65</v>
      </c>
      <c r="I250" s="36" t="str">
        <f>IF(G250="","",IFERROR(VLOOKUP(G250,Listas!$D$2:$E$23,2,FALSE),""))</f>
        <v>Brian Sarzosa</v>
      </c>
      <c r="J250" s="36" t="s">
        <v>475</v>
      </c>
      <c r="K250" s="36"/>
      <c r="L250" s="33"/>
      <c r="M250" s="55">
        <f>B250+5</f>
        <v>46217</v>
      </c>
      <c r="N250" s="42" t="str">
        <f t="shared" ref="N250" ca="1" si="56">IF(M250&lt;TODAY(),"CERRADO","ABIERTO")</f>
        <v>CERRADO</v>
      </c>
      <c r="O250" s="36"/>
      <c r="P250" s="84" t="str">
        <f>IFERROR(VLOOKUP(G250,Listas!$I$2:$J$23,2,FALSE),"")</f>
        <v>'Listas'!$N$2:$N$17</v>
      </c>
    </row>
    <row r="251" spans="1:16" ht="28.8">
      <c r="A251" s="26">
        <v>249</v>
      </c>
      <c r="B251" s="14">
        <v>46213</v>
      </c>
      <c r="C251" s="20" t="s">
        <v>16</v>
      </c>
      <c r="D251" s="16" t="s">
        <v>615</v>
      </c>
      <c r="E251" s="15" t="s">
        <v>616</v>
      </c>
      <c r="F251" s="15"/>
      <c r="G251" s="26" t="s">
        <v>52</v>
      </c>
      <c r="H251" s="15" t="s">
        <v>52</v>
      </c>
      <c r="I251" s="15" t="str">
        <f>IF(G251="","",IFERROR(VLOOKUP(G251,Listas!$D$2:$E$23,2,FALSE),""))</f>
        <v>André Cobo</v>
      </c>
      <c r="J251" s="15" t="s">
        <v>617</v>
      </c>
      <c r="K251" s="15"/>
      <c r="L251" s="8">
        <v>46213</v>
      </c>
      <c r="M251" s="8">
        <v>46213</v>
      </c>
      <c r="N251" s="10" t="str">
        <f t="shared" ref="N251:N252" ca="1" si="57">IF(M251&lt;&gt;"","CERRADO",IF(L251&gt;TODAY(),"EN PROCESO",IF(M251="","ABIERTO")))</f>
        <v>CERRADO</v>
      </c>
      <c r="O251" s="15"/>
      <c r="P251" s="84" t="str">
        <f>IFERROR(VLOOKUP(G251,Listas!$I$2:$J$23,2,FALSE),"")</f>
        <v>'Listas'!$K$7:$K$7</v>
      </c>
    </row>
    <row r="252" spans="1:16" ht="7.5" customHeight="1">
      <c r="A252" s="26">
        <v>250</v>
      </c>
      <c r="B252" s="17">
        <v>46213</v>
      </c>
      <c r="C252" s="20" t="s">
        <v>23</v>
      </c>
      <c r="D252" s="16" t="s">
        <v>618</v>
      </c>
      <c r="E252" s="16" t="s">
        <v>593</v>
      </c>
      <c r="F252" s="16"/>
      <c r="G252" s="42" t="s">
        <v>69</v>
      </c>
      <c r="H252" s="16" t="s">
        <v>312</v>
      </c>
      <c r="I252" s="16" t="str">
        <f>IF(G252="","",IFERROR(VLOOKUP(G252,Listas!$D$2:$E$23,2,FALSE),""))</f>
        <v>Edison Lema</v>
      </c>
      <c r="J252" s="16" t="s">
        <v>619</v>
      </c>
      <c r="K252" s="16"/>
      <c r="L252" s="43"/>
      <c r="M252" s="43">
        <v>46213</v>
      </c>
      <c r="N252" s="44" t="str">
        <f t="shared" ca="1" si="57"/>
        <v>CERRADO</v>
      </c>
      <c r="O252" s="16"/>
      <c r="P252" s="84" t="str">
        <f>IFERROR(VLOOKUP(G252,Listas!$I$2:$J$23,2,FALSE),"")</f>
        <v>'Listas'!$R$2:$R$16</v>
      </c>
    </row>
    <row r="253" spans="1:16">
      <c r="A253" s="26">
        <v>251</v>
      </c>
      <c r="B253" s="61">
        <v>46213</v>
      </c>
      <c r="C253" s="20" t="s">
        <v>23</v>
      </c>
      <c r="D253" s="36" t="s">
        <v>620</v>
      </c>
      <c r="E253" s="36" t="s">
        <v>621</v>
      </c>
      <c r="F253" s="36"/>
      <c r="G253" s="42" t="s">
        <v>30</v>
      </c>
      <c r="H253" s="16" t="s">
        <v>30</v>
      </c>
      <c r="I253" s="36" t="str">
        <f>IF(G253="","",IFERROR(VLOOKUP(G253,Listas!$D$2:$E$23,2,FALSE),""))</f>
        <v>Brian Sarzosa</v>
      </c>
      <c r="J253" s="36" t="s">
        <v>622</v>
      </c>
      <c r="K253" s="36"/>
      <c r="L253" s="33"/>
      <c r="M253" s="55">
        <f>B253+5</f>
        <v>46218</v>
      </c>
      <c r="N253" s="42" t="str">
        <f t="shared" ref="N253" ca="1" si="58">IF(M253&lt;TODAY(),"CERRADO","ABIERTO")</f>
        <v>CERRADO</v>
      </c>
      <c r="O253" s="36"/>
      <c r="P253" s="84" t="str">
        <f>IFERROR(VLOOKUP(G253,Listas!$I$2:$J$23,2,FALSE),"")</f>
        <v>'Listas'!$N$2:$N$17</v>
      </c>
    </row>
    <row r="254" spans="1:16">
      <c r="A254" s="26">
        <v>252</v>
      </c>
      <c r="B254" s="17">
        <v>46213</v>
      </c>
      <c r="C254" s="20" t="s">
        <v>23</v>
      </c>
      <c r="D254" s="16" t="s">
        <v>623</v>
      </c>
      <c r="E254" s="16" t="s">
        <v>237</v>
      </c>
      <c r="F254" s="16"/>
      <c r="G254" s="42" t="s">
        <v>54</v>
      </c>
      <c r="H254" s="16" t="s">
        <v>54</v>
      </c>
      <c r="I254" s="16" t="str">
        <f>IF(G254="","",IFERROR(VLOOKUP(G254,Listas!$D$2:$E$23,2,FALSE),""))</f>
        <v>Daniel Espinoza</v>
      </c>
      <c r="J254" s="16" t="s">
        <v>624</v>
      </c>
      <c r="K254" s="16"/>
      <c r="L254" s="43">
        <v>46234</v>
      </c>
      <c r="M254" s="43">
        <v>46234</v>
      </c>
      <c r="N254" s="44" t="str">
        <f ca="1">IF(M254&lt;&gt;"","CERRADO",IF(L254&gt;TODAY(),"EN PROCESO",IF(M254="","ABIERTO")))</f>
        <v>CERRADO</v>
      </c>
      <c r="O254" s="16"/>
      <c r="P254" s="84" t="str">
        <f>IFERROR(VLOOKUP(G254,Listas!$I$2:$J$23,2,FALSE),"")</f>
        <v>'Listas'!$O$2:$O$15</v>
      </c>
    </row>
    <row r="255" spans="1:16">
      <c r="A255" s="26">
        <v>253</v>
      </c>
      <c r="B255" s="61">
        <v>46217</v>
      </c>
      <c r="C255" s="20" t="s">
        <v>23</v>
      </c>
      <c r="D255" s="36" t="s">
        <v>558</v>
      </c>
      <c r="E255" s="36" t="s">
        <v>604</v>
      </c>
      <c r="F255" s="36"/>
      <c r="G255" s="42" t="s">
        <v>30</v>
      </c>
      <c r="H255" s="16" t="s">
        <v>30</v>
      </c>
      <c r="I255" s="36" t="str">
        <f>IF(G255="","",IFERROR(VLOOKUP(G255,Listas!$D$2:$E$23,2,FALSE),""))</f>
        <v>Brian Sarzosa</v>
      </c>
      <c r="J255" s="36" t="s">
        <v>475</v>
      </c>
      <c r="K255" s="36"/>
      <c r="L255" s="33"/>
      <c r="M255" s="55">
        <f t="shared" ref="M255:M258" si="59">B255+5</f>
        <v>46222</v>
      </c>
      <c r="N255" s="42" t="str">
        <f t="shared" ref="N255:N258" ca="1" si="60">IF(M255&lt;TODAY(),"CERRADO","ABIERTO")</f>
        <v>CERRADO</v>
      </c>
      <c r="O255" s="36"/>
      <c r="P255" s="84" t="str">
        <f>IFERROR(VLOOKUP(G255,Listas!$I$2:$J$23,2,FALSE),"")</f>
        <v>'Listas'!$N$2:$N$17</v>
      </c>
    </row>
    <row r="256" spans="1:16">
      <c r="A256" s="26">
        <v>254</v>
      </c>
      <c r="B256" s="61">
        <v>46217</v>
      </c>
      <c r="C256" s="20" t="s">
        <v>23</v>
      </c>
      <c r="D256" s="36" t="s">
        <v>568</v>
      </c>
      <c r="E256" s="36" t="s">
        <v>279</v>
      </c>
      <c r="F256" s="36"/>
      <c r="G256" s="42" t="s">
        <v>30</v>
      </c>
      <c r="H256" s="16" t="s">
        <v>30</v>
      </c>
      <c r="I256" s="36" t="str">
        <f>IF(G256="","",IFERROR(VLOOKUP(G256,Listas!$D$2:$E$23,2,FALSE),""))</f>
        <v>Brian Sarzosa</v>
      </c>
      <c r="J256" s="36" t="s">
        <v>570</v>
      </c>
      <c r="K256" s="36"/>
      <c r="L256" s="33"/>
      <c r="M256" s="55">
        <f t="shared" si="59"/>
        <v>46222</v>
      </c>
      <c r="N256" s="42" t="str">
        <f t="shared" ca="1" si="60"/>
        <v>CERRADO</v>
      </c>
      <c r="O256" s="36"/>
      <c r="P256" s="84" t="str">
        <f>IFERROR(VLOOKUP(G256,Listas!$I$2:$J$23,2,FALSE),"")</f>
        <v>'Listas'!$N$2:$N$17</v>
      </c>
    </row>
    <row r="257" spans="1:16">
      <c r="A257" s="26">
        <v>255</v>
      </c>
      <c r="B257" s="61">
        <v>46217</v>
      </c>
      <c r="C257" s="20" t="s">
        <v>23</v>
      </c>
      <c r="D257" s="36" t="s">
        <v>625</v>
      </c>
      <c r="E257" s="36" t="s">
        <v>614</v>
      </c>
      <c r="F257" s="36"/>
      <c r="G257" s="42" t="s">
        <v>20</v>
      </c>
      <c r="H257" s="36" t="s">
        <v>26</v>
      </c>
      <c r="I257" s="36" t="str">
        <f>IF(G257="","",IFERROR(VLOOKUP(G257,Listas!$D$2:$E$23,2,FALSE),""))</f>
        <v>Pablo Velasco</v>
      </c>
      <c r="J257" s="36" t="s">
        <v>626</v>
      </c>
      <c r="K257" s="36"/>
      <c r="L257" s="33"/>
      <c r="M257" s="55">
        <f t="shared" si="59"/>
        <v>46222</v>
      </c>
      <c r="N257" s="42" t="str">
        <f t="shared" ca="1" si="60"/>
        <v>CERRADO</v>
      </c>
      <c r="O257" s="36"/>
      <c r="P257" s="84" t="str">
        <f>IFERROR(VLOOKUP(G257,Listas!$I$2:$J$23,2,FALSE),"")</f>
        <v>'Listas'!$M$2:$M$19</v>
      </c>
    </row>
    <row r="258" spans="1:16">
      <c r="A258" s="26">
        <v>256</v>
      </c>
      <c r="B258" s="61">
        <v>46217</v>
      </c>
      <c r="C258" s="20" t="s">
        <v>23</v>
      </c>
      <c r="D258" s="36" t="s">
        <v>627</v>
      </c>
      <c r="E258" s="36" t="s">
        <v>604</v>
      </c>
      <c r="F258" s="36"/>
      <c r="G258" s="42" t="s">
        <v>30</v>
      </c>
      <c r="H258" s="16" t="s">
        <v>300</v>
      </c>
      <c r="I258" s="36" t="str">
        <f>IF(G258="","",IFERROR(VLOOKUP(G258,Listas!$D$2:$E$23,2,FALSE),""))</f>
        <v>Brian Sarzosa</v>
      </c>
      <c r="J258" s="36" t="s">
        <v>628</v>
      </c>
      <c r="K258" s="36"/>
      <c r="L258" s="33"/>
      <c r="M258" s="55">
        <f t="shared" si="59"/>
        <v>46222</v>
      </c>
      <c r="N258" s="42" t="str">
        <f t="shared" ca="1" si="60"/>
        <v>CERRADO</v>
      </c>
      <c r="O258" s="36"/>
      <c r="P258" s="84" t="str">
        <f>IFERROR(VLOOKUP(G258,Listas!$I$2:$J$23,2,FALSE),"")</f>
        <v>'Listas'!$N$2:$N$17</v>
      </c>
    </row>
    <row r="259" spans="1:16" ht="8.5500000000000007" customHeight="1">
      <c r="A259" s="26">
        <v>257</v>
      </c>
      <c r="B259" s="17">
        <v>46217</v>
      </c>
      <c r="C259" s="20" t="s">
        <v>23</v>
      </c>
      <c r="D259" s="16" t="s">
        <v>629</v>
      </c>
      <c r="E259" s="16" t="s">
        <v>630</v>
      </c>
      <c r="F259" s="16"/>
      <c r="G259" s="42" t="s">
        <v>69</v>
      </c>
      <c r="H259" s="16" t="s">
        <v>312</v>
      </c>
      <c r="I259" s="16" t="str">
        <f>IF(G259="","",IFERROR(VLOOKUP(G259,Listas!$D$2:$E$23,2,FALSE),""))</f>
        <v>Edison Lema</v>
      </c>
      <c r="J259" s="16" t="s">
        <v>631</v>
      </c>
      <c r="K259" s="16"/>
      <c r="L259" s="43"/>
      <c r="M259" s="43">
        <v>46234</v>
      </c>
      <c r="N259" s="44" t="str">
        <f ca="1">IF(M259&lt;&gt;"","CERRADO",IF(L259&gt;TODAY(),"EN PROCESO",IF(M259="","ABIERTO")))</f>
        <v>CERRADO</v>
      </c>
      <c r="O259" s="16"/>
      <c r="P259" s="84" t="str">
        <f>IFERROR(VLOOKUP(G259,Listas!$I$2:$J$23,2,FALSE),"")</f>
        <v>'Listas'!$R$2:$R$16</v>
      </c>
    </row>
    <row r="260" spans="1:16">
      <c r="A260" s="26">
        <v>258</v>
      </c>
      <c r="B260" s="61">
        <v>46217</v>
      </c>
      <c r="C260" s="20" t="s">
        <v>23</v>
      </c>
      <c r="D260" s="36" t="s">
        <v>632</v>
      </c>
      <c r="E260" s="36" t="s">
        <v>393</v>
      </c>
      <c r="F260" s="36"/>
      <c r="G260" s="42" t="s">
        <v>175</v>
      </c>
      <c r="H260" s="36" t="s">
        <v>633</v>
      </c>
      <c r="I260" s="36" t="str">
        <f>IF(G260="","",IFERROR(VLOOKUP(G260,Listas!$D$2:$E$23,2,FALSE),""))</f>
        <v>Sebastián Balseca</v>
      </c>
      <c r="J260" s="36" t="s">
        <v>586</v>
      </c>
      <c r="K260" s="36"/>
      <c r="L260" s="33"/>
      <c r="M260" s="55">
        <f t="shared" ref="M260:M262" si="61">B260+5</f>
        <v>46222</v>
      </c>
      <c r="N260" s="42" t="str">
        <f t="shared" ref="N260:N262" ca="1" si="62">IF(M260&lt;TODAY(),"CERRADO","ABIERTO")</f>
        <v>CERRADO</v>
      </c>
      <c r="O260" s="36"/>
      <c r="P260" s="84" t="str">
        <f>IFERROR(VLOOKUP(G260,Listas!$I$2:$J$23,2,FALSE),"")</f>
        <v>'Listas'!$R$2:$R$16</v>
      </c>
    </row>
    <row r="261" spans="1:16">
      <c r="A261" s="26">
        <v>259</v>
      </c>
      <c r="B261" s="61">
        <v>46217</v>
      </c>
      <c r="C261" s="20" t="s">
        <v>23</v>
      </c>
      <c r="D261" s="36" t="s">
        <v>634</v>
      </c>
      <c r="E261" s="36" t="s">
        <v>393</v>
      </c>
      <c r="F261" s="36"/>
      <c r="G261" s="42" t="s">
        <v>72</v>
      </c>
      <c r="H261" s="16" t="s">
        <v>72</v>
      </c>
      <c r="I261" s="36" t="str">
        <f>IF(G261="","",IFERROR(VLOOKUP(G261,Listas!$D$2:$E$23,2,FALSE),""))</f>
        <v>Alejandro Pesantez</v>
      </c>
      <c r="J261" s="36" t="s">
        <v>586</v>
      </c>
      <c r="K261" s="36"/>
      <c r="L261" s="33"/>
      <c r="M261" s="55">
        <f t="shared" si="61"/>
        <v>46222</v>
      </c>
      <c r="N261" s="42" t="str">
        <f t="shared" ca="1" si="62"/>
        <v>CERRADO</v>
      </c>
      <c r="O261" s="36"/>
      <c r="P261" s="84" t="str">
        <f>IFERROR(VLOOKUP(G261,Listas!$I$2:$J$23,2,FALSE),"")</f>
        <v>'Listas'!$Q$2:$Q$10</v>
      </c>
    </row>
    <row r="262" spans="1:16">
      <c r="A262" s="26">
        <v>260</v>
      </c>
      <c r="B262" s="61">
        <v>46217</v>
      </c>
      <c r="C262" s="20" t="s">
        <v>23</v>
      </c>
      <c r="D262" s="36" t="s">
        <v>635</v>
      </c>
      <c r="E262" s="36" t="s">
        <v>393</v>
      </c>
      <c r="F262" s="36"/>
      <c r="G262" s="42" t="s">
        <v>72</v>
      </c>
      <c r="H262" s="16" t="s">
        <v>72</v>
      </c>
      <c r="I262" s="36" t="str">
        <f>IF(G262="","",IFERROR(VLOOKUP(G262,Listas!$D$2:$E$23,2,FALSE),""))</f>
        <v>Alejandro Pesantez</v>
      </c>
      <c r="J262" s="36" t="s">
        <v>636</v>
      </c>
      <c r="K262" s="36"/>
      <c r="L262" s="33"/>
      <c r="M262" s="55">
        <f t="shared" si="61"/>
        <v>46222</v>
      </c>
      <c r="N262" s="42" t="str">
        <f t="shared" ca="1" si="62"/>
        <v>CERRADO</v>
      </c>
      <c r="O262" s="36"/>
      <c r="P262" s="84" t="str">
        <f>IFERROR(VLOOKUP(G262,Listas!$I$2:$J$23,2,FALSE),"")</f>
        <v>'Listas'!$Q$2:$Q$10</v>
      </c>
    </row>
    <row r="263" spans="1:16" ht="6.15" customHeight="1">
      <c r="A263" s="26">
        <v>261</v>
      </c>
      <c r="B263" s="17">
        <v>46217</v>
      </c>
      <c r="C263" s="20" t="s">
        <v>23</v>
      </c>
      <c r="D263" s="16" t="s">
        <v>637</v>
      </c>
      <c r="E263" s="16" t="s">
        <v>630</v>
      </c>
      <c r="F263" s="16"/>
      <c r="G263" s="42" t="s">
        <v>72</v>
      </c>
      <c r="H263" s="16" t="s">
        <v>72</v>
      </c>
      <c r="I263" s="16" t="str">
        <f>IF(G263="","",IFERROR(VLOOKUP(G263,Listas!$D$2:$E$23,2,FALSE),""))</f>
        <v>Alejandro Pesantez</v>
      </c>
      <c r="J263" s="16" t="s">
        <v>547</v>
      </c>
      <c r="K263" s="16"/>
      <c r="L263" s="43">
        <v>46248</v>
      </c>
      <c r="M263" s="43"/>
      <c r="N263" s="44" t="str">
        <f ca="1">IF(M263&lt;&gt;"","CERRADO",IF(L263&gt;TODAY(),"EN PROCESO",IF(M263="","ABIERTO")))</f>
        <v>EN PROCESO</v>
      </c>
      <c r="O263" s="16"/>
      <c r="P263" s="84" t="str">
        <f>IFERROR(VLOOKUP(G263,Listas!$I$2:$J$23,2,FALSE),"")</f>
        <v>'Listas'!$Q$2:$Q$10</v>
      </c>
    </row>
    <row r="264" spans="1:16">
      <c r="A264" s="26">
        <v>262</v>
      </c>
      <c r="B264" s="61">
        <v>46217</v>
      </c>
      <c r="C264" s="20" t="s">
        <v>23</v>
      </c>
      <c r="D264" s="36" t="s">
        <v>638</v>
      </c>
      <c r="E264" s="36" t="s">
        <v>614</v>
      </c>
      <c r="F264" s="36"/>
      <c r="G264" s="42" t="s">
        <v>69</v>
      </c>
      <c r="H264" s="16" t="s">
        <v>312</v>
      </c>
      <c r="I264" s="36" t="str">
        <f>IF(G264="","",IFERROR(VLOOKUP(G264,Listas!$D$2:$E$23,2,FALSE),""))</f>
        <v>Edison Lema</v>
      </c>
      <c r="J264" s="36" t="s">
        <v>639</v>
      </c>
      <c r="K264" s="36"/>
      <c r="L264" s="33"/>
      <c r="M264" s="55">
        <f>B264+5</f>
        <v>46222</v>
      </c>
      <c r="N264" s="42" t="str">
        <f t="shared" ref="N264" ca="1" si="63">IF(M264&lt;TODAY(),"CERRADO","ABIERTO")</f>
        <v>CERRADO</v>
      </c>
      <c r="O264" s="36"/>
      <c r="P264" s="84" t="str">
        <f>IFERROR(VLOOKUP(G264,Listas!$I$2:$J$23,2,FALSE),"")</f>
        <v>'Listas'!$R$2:$R$16</v>
      </c>
    </row>
    <row r="265" spans="1:16" ht="6.45" customHeight="1">
      <c r="A265" s="26">
        <v>263</v>
      </c>
      <c r="B265" s="17">
        <v>46217</v>
      </c>
      <c r="C265" s="20" t="s">
        <v>23</v>
      </c>
      <c r="D265" s="16" t="s">
        <v>640</v>
      </c>
      <c r="E265" s="16" t="s">
        <v>641</v>
      </c>
      <c r="F265" s="16"/>
      <c r="G265" s="42" t="s">
        <v>175</v>
      </c>
      <c r="H265" s="16" t="s">
        <v>642</v>
      </c>
      <c r="I265" s="16" t="str">
        <f>IF(G265="","",IFERROR(VLOOKUP(G265,Listas!$D$2:$E$23,2,FALSE),""))</f>
        <v>Sebastián Balseca</v>
      </c>
      <c r="J265" s="16" t="s">
        <v>643</v>
      </c>
      <c r="K265" s="16"/>
      <c r="L265" s="43">
        <v>46255</v>
      </c>
      <c r="M265" s="43"/>
      <c r="N265" s="44" t="str">
        <f ca="1">IF(M265&lt;&gt;"","CERRADO",IF(L265&gt;TODAY(),"EN PROCESO",IF(M265="","ABIERTO")))</f>
        <v>EN PROCESO</v>
      </c>
      <c r="O265" s="16"/>
      <c r="P265" s="84" t="str">
        <f>IFERROR(VLOOKUP(G265,Listas!$I$2:$J$23,2,FALSE),"")</f>
        <v>'Listas'!$R$2:$R$16</v>
      </c>
    </row>
    <row r="266" spans="1:16">
      <c r="A266" s="26">
        <v>264</v>
      </c>
      <c r="B266" s="61">
        <v>46217</v>
      </c>
      <c r="C266" s="20" t="s">
        <v>23</v>
      </c>
      <c r="D266" s="36" t="s">
        <v>644</v>
      </c>
      <c r="E266" s="36" t="s">
        <v>645</v>
      </c>
      <c r="F266" s="36"/>
      <c r="G266" s="42" t="s">
        <v>30</v>
      </c>
      <c r="H266" s="36" t="s">
        <v>221</v>
      </c>
      <c r="I266" s="36" t="str">
        <f>IF(G266="","",IFERROR(VLOOKUP(G266,Listas!$D$2:$E$23,2,FALSE),""))</f>
        <v>Brian Sarzosa</v>
      </c>
      <c r="J266" s="36" t="s">
        <v>646</v>
      </c>
      <c r="K266" s="36"/>
      <c r="L266" s="33"/>
      <c r="M266" s="55">
        <f t="shared" ref="M266:M271" si="64">B266+5</f>
        <v>46222</v>
      </c>
      <c r="N266" s="42" t="str">
        <f t="shared" ref="N266:N271" ca="1" si="65">IF(M266&lt;TODAY(),"CERRADO","ABIERTO")</f>
        <v>CERRADO</v>
      </c>
      <c r="O266" s="36"/>
      <c r="P266" s="84" t="str">
        <f>IFERROR(VLOOKUP(G266,Listas!$I$2:$J$23,2,FALSE),"")</f>
        <v>'Listas'!$N$2:$N$17</v>
      </c>
    </row>
    <row r="267" spans="1:16">
      <c r="A267" s="26">
        <v>265</v>
      </c>
      <c r="B267" s="61">
        <v>46218</v>
      </c>
      <c r="C267" s="20" t="s">
        <v>16</v>
      </c>
      <c r="D267" s="36" t="s">
        <v>647</v>
      </c>
      <c r="E267" s="36" t="s">
        <v>648</v>
      </c>
      <c r="F267" s="36"/>
      <c r="G267" s="42" t="s">
        <v>72</v>
      </c>
      <c r="H267" s="16" t="s">
        <v>72</v>
      </c>
      <c r="I267" s="36" t="str">
        <f>IF(G267="","",IFERROR(VLOOKUP(G267,Listas!$D$2:$E$23,2,FALSE),""))</f>
        <v>Alejandro Pesantez</v>
      </c>
      <c r="J267" s="36" t="s">
        <v>636</v>
      </c>
      <c r="K267" s="36"/>
      <c r="L267" s="33"/>
      <c r="M267" s="55">
        <v>46218</v>
      </c>
      <c r="N267" s="42" t="str">
        <f t="shared" ca="1" si="65"/>
        <v>CERRADO</v>
      </c>
      <c r="O267" s="36"/>
      <c r="P267" s="84" t="str">
        <f>IFERROR(VLOOKUP(G267,Listas!$I$2:$J$23,2,FALSE),"")</f>
        <v>'Listas'!$Q$2:$Q$10</v>
      </c>
    </row>
    <row r="268" spans="1:16" ht="28.8">
      <c r="A268" s="26">
        <v>266</v>
      </c>
      <c r="B268" s="61">
        <v>46217</v>
      </c>
      <c r="C268" s="20" t="s">
        <v>23</v>
      </c>
      <c r="D268" s="36" t="s">
        <v>649</v>
      </c>
      <c r="E268" s="62" t="s">
        <v>181</v>
      </c>
      <c r="F268" s="36"/>
      <c r="G268" s="42" t="s">
        <v>72</v>
      </c>
      <c r="H268" s="16" t="s">
        <v>72</v>
      </c>
      <c r="I268" s="36" t="str">
        <f>IF(G268="","",IFERROR(VLOOKUP(G268,Listas!$D$2:$E$23,2,FALSE),""))</f>
        <v>Alejandro Pesantez</v>
      </c>
      <c r="J268" s="36" t="s">
        <v>650</v>
      </c>
      <c r="K268" s="36"/>
      <c r="L268" s="33"/>
      <c r="M268" s="55">
        <f t="shared" si="64"/>
        <v>46222</v>
      </c>
      <c r="N268" s="42" t="str">
        <f t="shared" ca="1" si="65"/>
        <v>CERRADO</v>
      </c>
      <c r="O268" s="36"/>
      <c r="P268" s="84" t="str">
        <f>IFERROR(VLOOKUP(G268,Listas!$I$2:$J$23,2,FALSE),"")</f>
        <v>'Listas'!$Q$2:$Q$10</v>
      </c>
    </row>
    <row r="269" spans="1:16">
      <c r="A269" s="26">
        <v>267</v>
      </c>
      <c r="B269" s="61">
        <v>46218</v>
      </c>
      <c r="C269" s="20" t="s">
        <v>23</v>
      </c>
      <c r="D269" s="36" t="s">
        <v>558</v>
      </c>
      <c r="E269" s="36" t="s">
        <v>393</v>
      </c>
      <c r="F269" s="36"/>
      <c r="G269" s="42" t="s">
        <v>57</v>
      </c>
      <c r="H269" s="36" t="s">
        <v>75</v>
      </c>
      <c r="I269" s="36" t="str">
        <f>IF(G269="","",IFERROR(VLOOKUP(G269,Listas!$D$2:$E$23,2,FALSE),""))</f>
        <v>Mario Guamán</v>
      </c>
      <c r="J269" s="36" t="s">
        <v>475</v>
      </c>
      <c r="K269" s="36"/>
      <c r="L269" s="33"/>
      <c r="M269" s="55">
        <f t="shared" si="64"/>
        <v>46223</v>
      </c>
      <c r="N269" s="42" t="str">
        <f t="shared" ca="1" si="65"/>
        <v>CERRADO</v>
      </c>
      <c r="O269" s="36"/>
      <c r="P269" s="84" t="str">
        <f>IFERROR(VLOOKUP(G269,Listas!$I$2:$J$23,2,FALSE),"")</f>
        <v>'Listas'!$P$2:$P$16</v>
      </c>
    </row>
    <row r="270" spans="1:16">
      <c r="A270" s="26">
        <v>268</v>
      </c>
      <c r="B270" s="61">
        <v>46218</v>
      </c>
      <c r="C270" s="20" t="s">
        <v>23</v>
      </c>
      <c r="D270" s="36" t="s">
        <v>289</v>
      </c>
      <c r="E270" s="36" t="s">
        <v>630</v>
      </c>
      <c r="F270" s="36"/>
      <c r="G270" s="42" t="s">
        <v>30</v>
      </c>
      <c r="H270" s="16" t="s">
        <v>300</v>
      </c>
      <c r="I270" s="36" t="str">
        <f>IF(G270="","",IFERROR(VLOOKUP(G270,Listas!$D$2:$E$23,2,FALSE),""))</f>
        <v>Brian Sarzosa</v>
      </c>
      <c r="J270" s="36" t="s">
        <v>571</v>
      </c>
      <c r="K270" s="36"/>
      <c r="L270" s="33"/>
      <c r="M270" s="55">
        <f t="shared" si="64"/>
        <v>46223</v>
      </c>
      <c r="N270" s="42" t="str">
        <f t="shared" ca="1" si="65"/>
        <v>CERRADO</v>
      </c>
      <c r="O270" s="36"/>
      <c r="P270" s="84" t="str">
        <f>IFERROR(VLOOKUP(G270,Listas!$I$2:$J$23,2,FALSE),"")</f>
        <v>'Listas'!$N$2:$N$17</v>
      </c>
    </row>
    <row r="271" spans="1:16">
      <c r="A271" s="26">
        <v>269</v>
      </c>
      <c r="B271" s="61">
        <v>46218</v>
      </c>
      <c r="C271" s="20" t="s">
        <v>23</v>
      </c>
      <c r="D271" s="36" t="s">
        <v>651</v>
      </c>
      <c r="E271" s="36" t="s">
        <v>393</v>
      </c>
      <c r="F271" s="36"/>
      <c r="G271" s="42" t="s">
        <v>175</v>
      </c>
      <c r="H271" s="36" t="s">
        <v>633</v>
      </c>
      <c r="I271" s="36" t="str">
        <f>IF(G271="","",IFERROR(VLOOKUP(G271,Listas!$D$2:$E$23,2,FALSE),""))</f>
        <v>Sebastián Balseca</v>
      </c>
      <c r="J271" s="36" t="s">
        <v>652</v>
      </c>
      <c r="K271" s="36"/>
      <c r="L271" s="33"/>
      <c r="M271" s="55">
        <f t="shared" si="64"/>
        <v>46223</v>
      </c>
      <c r="N271" s="42" t="str">
        <f t="shared" ca="1" si="65"/>
        <v>CERRADO</v>
      </c>
      <c r="O271" s="36"/>
      <c r="P271" s="84" t="str">
        <f>IFERROR(VLOOKUP(G271,Listas!$I$2:$J$23,2,FALSE),"")</f>
        <v>'Listas'!$R$2:$R$16</v>
      </c>
    </row>
    <row r="272" spans="1:16" ht="6.15" customHeight="1">
      <c r="A272" s="26">
        <v>270</v>
      </c>
      <c r="B272" s="17">
        <v>46218</v>
      </c>
      <c r="C272" s="20" t="s">
        <v>23</v>
      </c>
      <c r="D272" s="16" t="s">
        <v>653</v>
      </c>
      <c r="E272" s="16" t="s">
        <v>654</v>
      </c>
      <c r="F272" s="16"/>
      <c r="G272" s="42" t="s">
        <v>20</v>
      </c>
      <c r="H272" s="16" t="s">
        <v>20</v>
      </c>
      <c r="I272" s="16" t="str">
        <f>IF(G272="","",IFERROR(VLOOKUP(G272,Listas!$D$2:$E$23,2,FALSE),""))</f>
        <v>Pablo Velasco</v>
      </c>
      <c r="J272" s="16" t="s">
        <v>650</v>
      </c>
      <c r="K272" s="16"/>
      <c r="L272" s="43"/>
      <c r="M272" s="43">
        <v>46218</v>
      </c>
      <c r="N272" s="44" t="str">
        <f ca="1">IF(M272&lt;&gt;"","CERRADO",IF(L272&gt;TODAY(),"EN PROCESO",IF(M272="","ABIERTO")))</f>
        <v>CERRADO</v>
      </c>
      <c r="O272" s="16"/>
      <c r="P272" s="84" t="str">
        <f>IFERROR(VLOOKUP(G272,Listas!$I$2:$J$23,2,FALSE),"")</f>
        <v>'Listas'!$M$2:$M$19</v>
      </c>
    </row>
    <row r="273" spans="1:122">
      <c r="A273" s="26">
        <v>271</v>
      </c>
      <c r="B273" s="61">
        <v>46219</v>
      </c>
      <c r="C273" s="20" t="s">
        <v>23</v>
      </c>
      <c r="D273" s="36" t="s">
        <v>655</v>
      </c>
      <c r="E273" s="36" t="s">
        <v>569</v>
      </c>
      <c r="F273" s="36"/>
      <c r="G273" s="42" t="s">
        <v>30</v>
      </c>
      <c r="H273" s="16" t="s">
        <v>30</v>
      </c>
      <c r="I273" s="36" t="str">
        <f>IF(G273="","",IFERROR(VLOOKUP(G273,Listas!$D$2:$E$23,2,FALSE),""))</f>
        <v>Brian Sarzosa</v>
      </c>
      <c r="J273" s="36" t="s">
        <v>570</v>
      </c>
      <c r="K273" s="36"/>
      <c r="L273" s="33"/>
      <c r="M273" s="55">
        <f t="shared" ref="M273:M275" si="66">B273+5</f>
        <v>46224</v>
      </c>
      <c r="N273" s="42" t="str">
        <f t="shared" ref="N273:N275" ca="1" si="67">IF(M273&lt;TODAY(),"CERRADO","ABIERTO")</f>
        <v>CERRADO</v>
      </c>
      <c r="O273" s="36"/>
      <c r="P273" s="84" t="str">
        <f>IFERROR(VLOOKUP(G273,Listas!$I$2:$J$23,2,FALSE),"")</f>
        <v>'Listas'!$N$2:$N$17</v>
      </c>
    </row>
    <row r="274" spans="1:122">
      <c r="A274" s="26">
        <v>272</v>
      </c>
      <c r="B274" s="61">
        <v>46219</v>
      </c>
      <c r="C274" s="20" t="s">
        <v>23</v>
      </c>
      <c r="D274" s="36" t="s">
        <v>638</v>
      </c>
      <c r="E274" s="36" t="s">
        <v>656</v>
      </c>
      <c r="F274" s="36"/>
      <c r="G274" s="42" t="s">
        <v>54</v>
      </c>
      <c r="H274" s="16" t="s">
        <v>54</v>
      </c>
      <c r="I274" s="36" t="str">
        <f>IF(G274="","",IFERROR(VLOOKUP(G274,Listas!$D$2:$E$23,2,FALSE),""))</f>
        <v>Daniel Espinoza</v>
      </c>
      <c r="J274" s="36" t="s">
        <v>657</v>
      </c>
      <c r="K274" s="36"/>
      <c r="L274" s="33"/>
      <c r="M274" s="55">
        <f t="shared" si="66"/>
        <v>46224</v>
      </c>
      <c r="N274" s="42" t="str">
        <f t="shared" ca="1" si="67"/>
        <v>CERRADO</v>
      </c>
      <c r="O274" s="36"/>
      <c r="P274" s="84" t="str">
        <f>IFERROR(VLOOKUP(G274,Listas!$I$2:$J$23,2,FALSE),"")</f>
        <v>'Listas'!$O$2:$O$15</v>
      </c>
    </row>
    <row r="275" spans="1:122" ht="4.95" customHeight="1">
      <c r="A275" s="26">
        <v>273</v>
      </c>
      <c r="B275" s="61">
        <v>46219</v>
      </c>
      <c r="C275" s="20" t="s">
        <v>23</v>
      </c>
      <c r="D275" s="36" t="s">
        <v>658</v>
      </c>
      <c r="E275" s="36" t="s">
        <v>393</v>
      </c>
      <c r="F275" s="36"/>
      <c r="G275" s="42" t="s">
        <v>57</v>
      </c>
      <c r="H275" s="16" t="s">
        <v>75</v>
      </c>
      <c r="I275" s="36" t="str">
        <f>IF(G275="","",IFERROR(VLOOKUP(G275,Listas!$D$2:$E$23,2,FALSE),""))</f>
        <v>Mario Guamán</v>
      </c>
      <c r="J275" s="36" t="s">
        <v>535</v>
      </c>
      <c r="K275" s="36"/>
      <c r="L275" s="33"/>
      <c r="M275" s="55">
        <f t="shared" si="66"/>
        <v>46224</v>
      </c>
      <c r="N275" s="42" t="str">
        <f t="shared" ca="1" si="67"/>
        <v>CERRADO</v>
      </c>
      <c r="O275" s="36"/>
      <c r="P275" s="84" t="str">
        <f>IFERROR(VLOOKUP(G275,Listas!$I$2:$J$23,2,FALSE),"")</f>
        <v>'Listas'!$P$2:$P$16</v>
      </c>
    </row>
    <row r="276" spans="1:122" ht="4.05" customHeight="1">
      <c r="A276" s="26">
        <v>274</v>
      </c>
      <c r="B276" s="17">
        <v>46220</v>
      </c>
      <c r="C276" s="20" t="s">
        <v>23</v>
      </c>
      <c r="D276" s="16" t="s">
        <v>558</v>
      </c>
      <c r="E276" s="16" t="s">
        <v>393</v>
      </c>
      <c r="F276" s="16"/>
      <c r="G276" s="42" t="s">
        <v>30</v>
      </c>
      <c r="H276" s="16" t="s">
        <v>300</v>
      </c>
      <c r="I276" s="16" t="str">
        <f>IF(G276="","",IFERROR(VLOOKUP(G276,Listas!$D$2:$E$23,2,FALSE),""))</f>
        <v>Brian Sarzosa</v>
      </c>
      <c r="J276" s="16" t="s">
        <v>475</v>
      </c>
      <c r="K276" s="16"/>
      <c r="L276" s="43"/>
      <c r="M276" s="43">
        <v>46237</v>
      </c>
      <c r="N276" s="44" t="str">
        <f ca="1">IF(M276&lt;&gt;"","CERRADO",IF(L276&gt;TODAY(),"EN PROCESO",IF(M276="","ABIERTO")))</f>
        <v>CERRADO</v>
      </c>
      <c r="O276" s="16"/>
      <c r="P276" s="84" t="str">
        <f>IFERROR(VLOOKUP(G276,Listas!$I$2:$J$23,2,FALSE),"")</f>
        <v>'Listas'!$N$2:$N$17</v>
      </c>
    </row>
    <row r="277" spans="1:122" ht="6.75" customHeight="1">
      <c r="A277" s="26">
        <v>275</v>
      </c>
      <c r="B277" s="61">
        <v>46223</v>
      </c>
      <c r="C277" s="20" t="s">
        <v>23</v>
      </c>
      <c r="D277" s="36" t="s">
        <v>568</v>
      </c>
      <c r="E277" s="36" t="s">
        <v>659</v>
      </c>
      <c r="F277" s="36"/>
      <c r="G277" s="42" t="s">
        <v>30</v>
      </c>
      <c r="H277" s="16" t="s">
        <v>30</v>
      </c>
      <c r="I277" s="36" t="str">
        <f>IF(G277="","",IFERROR(VLOOKUP(G277,Listas!$D$2:$E$23,2,FALSE),""))</f>
        <v>Brian Sarzosa</v>
      </c>
      <c r="J277" s="36" t="s">
        <v>570</v>
      </c>
      <c r="K277" s="36"/>
      <c r="L277" s="33"/>
      <c r="M277" s="55">
        <f>B277+5</f>
        <v>46228</v>
      </c>
      <c r="N277" s="42" t="str">
        <f t="shared" ref="N277" ca="1" si="68">IF(M277&lt;TODAY(),"CERRADO","ABIERTO")</f>
        <v>CERRADO</v>
      </c>
      <c r="O277" s="36"/>
      <c r="P277" s="84" t="str">
        <f>IFERROR(VLOOKUP(G277,Listas!$I$2:$J$23,2,FALSE),"")</f>
        <v>'Listas'!$N$2:$N$17</v>
      </c>
    </row>
    <row r="278" spans="1:122" ht="10.5" customHeight="1">
      <c r="A278" s="26">
        <v>276</v>
      </c>
      <c r="B278" s="17">
        <v>46223</v>
      </c>
      <c r="C278" s="20" t="s">
        <v>23</v>
      </c>
      <c r="D278" s="16" t="s">
        <v>660</v>
      </c>
      <c r="E278" s="16" t="s">
        <v>393</v>
      </c>
      <c r="F278" s="16"/>
      <c r="G278" s="42" t="s">
        <v>20</v>
      </c>
      <c r="H278" s="16" t="s">
        <v>21</v>
      </c>
      <c r="I278" s="16" t="str">
        <f>IF(G278="","",IFERROR(VLOOKUP(G278,Listas!$D$2:$E$23,2,FALSE),""))</f>
        <v>Pablo Velasco</v>
      </c>
      <c r="J278" s="16" t="s">
        <v>661</v>
      </c>
      <c r="K278" s="16"/>
      <c r="L278" s="43"/>
      <c r="M278" s="43">
        <v>46223</v>
      </c>
      <c r="N278" s="44" t="str">
        <f t="shared" ref="N278:N339" ca="1" si="69">IF(M278&lt;&gt;"","CERRADO",IF(L278&gt;TODAY(),"EN PROCESO",IF(M278="","ABIERTO")))</f>
        <v>CERRADO</v>
      </c>
      <c r="O278" s="16"/>
      <c r="P278" s="84" t="str">
        <f>IFERROR(VLOOKUP(G278,Listas!$I$2:$J$23,2,FALSE),"")</f>
        <v>'Listas'!$M$2:$M$19</v>
      </c>
    </row>
    <row r="279" spans="1:122" ht="9.3000000000000007" customHeight="1">
      <c r="A279" s="26">
        <v>277</v>
      </c>
      <c r="B279" s="17">
        <v>46232</v>
      </c>
      <c r="C279" s="20" t="s">
        <v>23</v>
      </c>
      <c r="D279" s="16" t="s">
        <v>662</v>
      </c>
      <c r="E279" s="16" t="s">
        <v>48</v>
      </c>
      <c r="F279" s="16"/>
      <c r="G279" s="42" t="s">
        <v>20</v>
      </c>
      <c r="H279" s="16" t="s">
        <v>663</v>
      </c>
      <c r="I279" s="16" t="str">
        <f>IF(G279="","",IFERROR(VLOOKUP(G279,Listas!$D$2:$E$23,2,FALSE),""))</f>
        <v>Pablo Velasco</v>
      </c>
      <c r="J279" s="16" t="s">
        <v>664</v>
      </c>
      <c r="K279" s="16"/>
      <c r="L279" s="43">
        <v>46388</v>
      </c>
      <c r="M279" s="43"/>
      <c r="N279" s="44" t="str">
        <f t="shared" ca="1" si="69"/>
        <v>EN PROCESO</v>
      </c>
      <c r="O279" s="16"/>
      <c r="P279" s="84" t="str">
        <f>IFERROR(VLOOKUP(G279,Listas!$I$2:$J$23,2,FALSE),"")</f>
        <v>'Listas'!$M$2:$M$19</v>
      </c>
    </row>
    <row r="280" spans="1:122" ht="7.65" customHeight="1">
      <c r="A280" s="26">
        <v>278</v>
      </c>
      <c r="B280" s="17">
        <v>46232</v>
      </c>
      <c r="C280" s="20" t="s">
        <v>23</v>
      </c>
      <c r="D280" s="16" t="s">
        <v>289</v>
      </c>
      <c r="E280" s="16" t="s">
        <v>630</v>
      </c>
      <c r="F280" s="16"/>
      <c r="G280" s="42" t="s">
        <v>20</v>
      </c>
      <c r="H280" s="16" t="s">
        <v>26</v>
      </c>
      <c r="I280" s="16" t="str">
        <f>IF(G280="","",IFERROR(VLOOKUP(G280,Listas!$D$2:$E$23,2,FALSE),""))</f>
        <v>Pablo Velasco</v>
      </c>
      <c r="J280" s="16" t="s">
        <v>571</v>
      </c>
      <c r="K280" s="16"/>
      <c r="L280" s="43"/>
      <c r="M280" s="43">
        <v>46234</v>
      </c>
      <c r="N280" s="44" t="str">
        <f t="shared" ca="1" si="69"/>
        <v>CERRADO</v>
      </c>
      <c r="O280" s="16"/>
      <c r="P280" s="84" t="str">
        <f>IFERROR(VLOOKUP(G280,Listas!$I$2:$J$23,2,FALSE),"")</f>
        <v>'Listas'!$M$2:$M$19</v>
      </c>
    </row>
    <row r="281" spans="1:122" ht="12" customHeight="1">
      <c r="A281" s="26">
        <v>279</v>
      </c>
      <c r="B281" s="17">
        <v>46232</v>
      </c>
      <c r="C281" s="20" t="s">
        <v>23</v>
      </c>
      <c r="D281" s="16" t="s">
        <v>665</v>
      </c>
      <c r="E281" s="16" t="s">
        <v>656</v>
      </c>
      <c r="F281" s="16"/>
      <c r="G281" s="42" t="s">
        <v>20</v>
      </c>
      <c r="H281" s="16" t="s">
        <v>663</v>
      </c>
      <c r="I281" s="16" t="str">
        <f>IF(G281="","",IFERROR(VLOOKUP(G281,Listas!$D$2:$E$23,2,FALSE),""))</f>
        <v>Pablo Velasco</v>
      </c>
      <c r="J281" s="16" t="s">
        <v>666</v>
      </c>
      <c r="K281" s="16"/>
      <c r="L281" s="43">
        <v>46254</v>
      </c>
      <c r="M281" s="43"/>
      <c r="N281" s="44" t="str">
        <f t="shared" ca="1" si="69"/>
        <v>EN PROCESO</v>
      </c>
      <c r="O281" s="16"/>
      <c r="P281" s="84" t="str">
        <f>IFERROR(VLOOKUP(G281,Listas!$I$2:$J$23,2,FALSE),"")</f>
        <v>'Listas'!$M$2:$M$19</v>
      </c>
    </row>
    <row r="282" spans="1:122" ht="10.65" customHeight="1">
      <c r="A282" s="26">
        <v>280</v>
      </c>
      <c r="B282" s="17">
        <v>46232</v>
      </c>
      <c r="C282" s="20" t="s">
        <v>23</v>
      </c>
      <c r="D282" s="16" t="s">
        <v>667</v>
      </c>
      <c r="E282" s="16" t="s">
        <v>393</v>
      </c>
      <c r="F282" s="16"/>
      <c r="G282" s="42" t="s">
        <v>20</v>
      </c>
      <c r="H282" s="16" t="s">
        <v>157</v>
      </c>
      <c r="I282" s="16" t="str">
        <f>IF(G282="","",IFERROR(VLOOKUP(G282,Listas!$D$2:$E$23,2,FALSE),""))</f>
        <v>Pablo Velasco</v>
      </c>
      <c r="J282" s="16" t="s">
        <v>668</v>
      </c>
      <c r="K282" s="16"/>
      <c r="L282" s="43">
        <v>46254</v>
      </c>
      <c r="M282" s="43"/>
      <c r="N282" s="44" t="str">
        <f t="shared" ca="1" si="69"/>
        <v>EN PROCESO</v>
      </c>
      <c r="O282" s="16"/>
      <c r="P282" s="84" t="str">
        <f>IFERROR(VLOOKUP(G282,Listas!$I$2:$J$23,2,FALSE),"")</f>
        <v>'Listas'!$M$2:$M$19</v>
      </c>
    </row>
    <row r="283" spans="1:122" ht="7.65" customHeight="1">
      <c r="A283" s="26">
        <v>281</v>
      </c>
      <c r="B283" s="17">
        <v>46232</v>
      </c>
      <c r="C283" s="20" t="s">
        <v>23</v>
      </c>
      <c r="D283" s="16" t="s">
        <v>669</v>
      </c>
      <c r="E283" s="16" t="s">
        <v>279</v>
      </c>
      <c r="F283" s="16"/>
      <c r="G283" s="42" t="s">
        <v>20</v>
      </c>
      <c r="H283" s="16" t="s">
        <v>157</v>
      </c>
      <c r="I283" s="16" t="str">
        <f>IF(G283="","",IFERROR(VLOOKUP(G283,Listas!$D$2:$E$23,2,FALSE),""))</f>
        <v>Pablo Velasco</v>
      </c>
      <c r="J283" s="16" t="s">
        <v>626</v>
      </c>
      <c r="K283" s="16"/>
      <c r="L283" s="43"/>
      <c r="M283" s="43">
        <v>46237</v>
      </c>
      <c r="N283" s="44" t="str">
        <f t="shared" ca="1" si="69"/>
        <v>CERRADO</v>
      </c>
      <c r="O283" s="16"/>
      <c r="P283" s="84" t="str">
        <f>IFERROR(VLOOKUP(G283,Listas!$I$2:$J$23,2,FALSE),"")</f>
        <v>'Listas'!$M$2:$M$19</v>
      </c>
    </row>
    <row r="284" spans="1:122" ht="8.85" customHeight="1">
      <c r="A284" s="26">
        <v>282</v>
      </c>
      <c r="B284" s="17">
        <v>46232</v>
      </c>
      <c r="C284" s="20" t="s">
        <v>23</v>
      </c>
      <c r="D284" s="16" t="s">
        <v>670</v>
      </c>
      <c r="E284" s="16" t="s">
        <v>279</v>
      </c>
      <c r="F284" s="16"/>
      <c r="G284" s="42" t="s">
        <v>20</v>
      </c>
      <c r="H284" s="16" t="s">
        <v>20</v>
      </c>
      <c r="I284" s="16" t="str">
        <f>IF(G284="","",IFERROR(VLOOKUP(G284,Listas!$D$2:$E$23,2,FALSE),""))</f>
        <v>Pablo Velasco</v>
      </c>
      <c r="J284" s="16" t="s">
        <v>671</v>
      </c>
      <c r="K284" s="16"/>
      <c r="L284" s="43">
        <v>46254</v>
      </c>
      <c r="M284" s="43"/>
      <c r="N284" s="44" t="str">
        <f t="shared" ca="1" si="69"/>
        <v>EN PROCESO</v>
      </c>
      <c r="O284" s="16"/>
      <c r="P284" s="84" t="str">
        <f>IFERROR(VLOOKUP(G284,Listas!$I$2:$J$23,2,FALSE),"")</f>
        <v>'Listas'!$M$2:$M$19</v>
      </c>
    </row>
    <row r="285" spans="1:122" s="4" customFormat="1" ht="11.7" customHeight="1">
      <c r="A285" s="26">
        <v>283</v>
      </c>
      <c r="B285" s="17">
        <v>46232</v>
      </c>
      <c r="C285" s="20" t="s">
        <v>23</v>
      </c>
      <c r="D285" s="16" t="s">
        <v>672</v>
      </c>
      <c r="E285" s="16" t="s">
        <v>48</v>
      </c>
      <c r="F285" s="16"/>
      <c r="G285" s="42" t="s">
        <v>20</v>
      </c>
      <c r="H285" s="16" t="s">
        <v>20</v>
      </c>
      <c r="I285" s="16" t="str">
        <f>IF(G285="","",IFERROR(VLOOKUP(G285,Listas!$D$2:$E$23,2,FALSE),""))</f>
        <v>Pablo Velasco</v>
      </c>
      <c r="J285" s="16" t="s">
        <v>570</v>
      </c>
      <c r="K285" s="16"/>
      <c r="L285" s="43"/>
      <c r="M285" s="43">
        <v>46237</v>
      </c>
      <c r="N285" s="44" t="str">
        <f t="shared" ca="1" si="69"/>
        <v>CERRADO</v>
      </c>
      <c r="O285" s="16"/>
      <c r="P285" s="85" t="str">
        <f>IFERROR(VLOOKUP(G285,Listas!$I$2:$J$23,2,FALSE),"")</f>
        <v>'Listas'!$M$2:$M$19</v>
      </c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  <c r="AE285" s="33"/>
      <c r="AF285" s="33"/>
      <c r="AG285" s="33"/>
      <c r="AH285" s="33"/>
      <c r="AI285" s="33"/>
      <c r="AJ285" s="33"/>
      <c r="AK285" s="33"/>
      <c r="AL285" s="33"/>
      <c r="AM285" s="33"/>
      <c r="AN285" s="33"/>
      <c r="AO285" s="33"/>
      <c r="AP285" s="33"/>
      <c r="AQ285" s="33"/>
      <c r="AR285" s="33"/>
      <c r="AS285" s="33"/>
      <c r="AT285" s="33"/>
      <c r="AU285" s="33"/>
      <c r="AV285" s="33"/>
      <c r="AW285" s="33"/>
      <c r="AX285" s="33"/>
      <c r="AY285" s="33"/>
      <c r="AZ285" s="33"/>
      <c r="BA285" s="33"/>
      <c r="BB285" s="33"/>
      <c r="BC285" s="33"/>
      <c r="BD285" s="33"/>
      <c r="BE285" s="33"/>
      <c r="BF285" s="33"/>
      <c r="BG285" s="33"/>
      <c r="BH285" s="33"/>
      <c r="BI285" s="33"/>
      <c r="BJ285" s="33"/>
      <c r="BK285" s="33"/>
      <c r="BL285" s="33"/>
      <c r="BM285" s="33"/>
      <c r="BN285" s="33"/>
      <c r="BO285" s="33"/>
      <c r="BP285" s="33"/>
      <c r="BQ285" s="33"/>
      <c r="BR285" s="33"/>
      <c r="BS285" s="33"/>
      <c r="BT285" s="33"/>
      <c r="BU285" s="33"/>
      <c r="BV285" s="33"/>
      <c r="BW285" s="33"/>
      <c r="BX285" s="33"/>
      <c r="BY285" s="33"/>
      <c r="BZ285" s="33"/>
      <c r="CA285" s="33"/>
      <c r="CB285" s="33"/>
      <c r="CC285" s="33"/>
      <c r="CD285" s="33"/>
      <c r="CE285" s="33"/>
      <c r="CF285" s="33"/>
      <c r="CG285" s="33"/>
      <c r="CH285" s="33"/>
      <c r="CI285" s="33"/>
      <c r="CJ285" s="33"/>
      <c r="CK285" s="33"/>
      <c r="CL285" s="33"/>
      <c r="CM285" s="33"/>
      <c r="CN285" s="33"/>
      <c r="CO285" s="33"/>
      <c r="CP285" s="33"/>
      <c r="CQ285" s="33"/>
      <c r="CR285" s="33"/>
      <c r="CS285" s="33"/>
      <c r="CT285" s="33"/>
      <c r="CU285" s="33"/>
      <c r="CV285" s="33"/>
      <c r="CW285" s="33"/>
      <c r="CX285" s="33"/>
      <c r="CY285" s="33"/>
      <c r="CZ285" s="33"/>
      <c r="DA285" s="33"/>
      <c r="DB285" s="33"/>
      <c r="DC285" s="33"/>
      <c r="DD285" s="33"/>
      <c r="DE285" s="33"/>
      <c r="DF285" s="33"/>
      <c r="DG285" s="33"/>
      <c r="DH285" s="33"/>
      <c r="DI285" s="33"/>
      <c r="DJ285" s="33"/>
      <c r="DK285" s="33"/>
      <c r="DL285" s="33"/>
      <c r="DM285" s="33"/>
      <c r="DN285" s="33"/>
      <c r="DO285" s="33"/>
      <c r="DP285" s="33"/>
      <c r="DQ285" s="33"/>
      <c r="DR285" s="33"/>
    </row>
    <row r="286" spans="1:122" ht="11.7" customHeight="1">
      <c r="A286" s="26">
        <v>284</v>
      </c>
      <c r="B286" s="17">
        <v>46232</v>
      </c>
      <c r="C286" s="20" t="s">
        <v>23</v>
      </c>
      <c r="D286" s="16" t="s">
        <v>673</v>
      </c>
      <c r="E286" s="16" t="s">
        <v>656</v>
      </c>
      <c r="F286" s="16"/>
      <c r="G286" s="42" t="s">
        <v>20</v>
      </c>
      <c r="H286" s="16" t="s">
        <v>269</v>
      </c>
      <c r="I286" s="16" t="str">
        <f>IF(G286="","",IFERROR(VLOOKUP(G286,Listas!$D$2:$E$23,2,FALSE),""))</f>
        <v>Pablo Velasco</v>
      </c>
      <c r="J286" s="16" t="s">
        <v>674</v>
      </c>
      <c r="K286" s="16"/>
      <c r="L286" s="43">
        <v>46254</v>
      </c>
      <c r="M286" s="43"/>
      <c r="N286" s="44" t="str">
        <f t="shared" ca="1" si="69"/>
        <v>EN PROCESO</v>
      </c>
      <c r="O286" s="16"/>
      <c r="P286" s="84" t="str">
        <f>IFERROR(VLOOKUP(G286,Listas!$I$2:$J$23,2,FALSE),"")</f>
        <v>'Listas'!$M$2:$M$19</v>
      </c>
    </row>
    <row r="287" spans="1:122" ht="8.85" customHeight="1">
      <c r="A287" s="26">
        <v>285</v>
      </c>
      <c r="B287" s="17">
        <v>46232</v>
      </c>
      <c r="C287" s="20" t="s">
        <v>23</v>
      </c>
      <c r="D287" s="16" t="s">
        <v>675</v>
      </c>
      <c r="E287" s="16" t="s">
        <v>630</v>
      </c>
      <c r="F287" s="16"/>
      <c r="G287" s="42" t="s">
        <v>69</v>
      </c>
      <c r="H287" s="16" t="s">
        <v>312</v>
      </c>
      <c r="I287" s="16" t="str">
        <f>IF(G287="","",IFERROR(VLOOKUP(G287,Listas!$D$2:$E$23,2,FALSE),""))</f>
        <v>Edison Lema</v>
      </c>
      <c r="J287" s="16" t="s">
        <v>676</v>
      </c>
      <c r="K287" s="16"/>
      <c r="L287" s="43">
        <v>46234</v>
      </c>
      <c r="M287" s="43">
        <v>46234</v>
      </c>
      <c r="N287" s="44" t="str">
        <f t="shared" ca="1" si="69"/>
        <v>CERRADO</v>
      </c>
      <c r="O287" s="16"/>
      <c r="P287" s="84" t="str">
        <f>IFERROR(VLOOKUP(G287,Listas!$I$2:$J$23,2,FALSE),"")</f>
        <v>'Listas'!$R$2:$R$16</v>
      </c>
    </row>
    <row r="288" spans="1:122" ht="12.6" customHeight="1">
      <c r="A288" s="26">
        <v>286</v>
      </c>
      <c r="B288" s="17">
        <v>46232</v>
      </c>
      <c r="C288" s="20" t="s">
        <v>23</v>
      </c>
      <c r="D288" s="16" t="s">
        <v>677</v>
      </c>
      <c r="E288" s="16" t="s">
        <v>596</v>
      </c>
      <c r="F288" s="16"/>
      <c r="G288" s="42" t="s">
        <v>69</v>
      </c>
      <c r="H288" s="16" t="s">
        <v>312</v>
      </c>
      <c r="I288" s="16" t="str">
        <f>IF(G288="","",IFERROR(VLOOKUP(G288,Listas!$D$2:$E$23,2,FALSE),""))</f>
        <v>Edison Lema</v>
      </c>
      <c r="J288" s="16" t="s">
        <v>626</v>
      </c>
      <c r="K288" s="16"/>
      <c r="L288" s="43">
        <v>46234</v>
      </c>
      <c r="M288" s="43">
        <v>46234</v>
      </c>
      <c r="N288" s="44" t="str">
        <f t="shared" ca="1" si="69"/>
        <v>CERRADO</v>
      </c>
      <c r="O288" s="16"/>
      <c r="P288" s="84" t="str">
        <f>IFERROR(VLOOKUP(G288,Listas!$I$2:$J$23,2,FALSE),"")</f>
        <v>'Listas'!$R$2:$R$16</v>
      </c>
    </row>
    <row r="289" spans="1:16" ht="6.45" customHeight="1">
      <c r="A289" s="26">
        <v>287</v>
      </c>
      <c r="B289" s="17">
        <v>46232</v>
      </c>
      <c r="C289" s="20" t="s">
        <v>23</v>
      </c>
      <c r="D289" s="16" t="s">
        <v>678</v>
      </c>
      <c r="E289" s="16" t="s">
        <v>679</v>
      </c>
      <c r="F289" s="16"/>
      <c r="G289" s="42" t="s">
        <v>69</v>
      </c>
      <c r="H289" s="16" t="s">
        <v>312</v>
      </c>
      <c r="I289" s="16" t="str">
        <f>IF(G289="","",IFERROR(VLOOKUP(G289,Listas!$D$2:$E$23,2,FALSE),""))</f>
        <v>Edison Lema</v>
      </c>
      <c r="J289" s="16" t="s">
        <v>680</v>
      </c>
      <c r="K289" s="16"/>
      <c r="L289" s="43"/>
      <c r="M289" s="43">
        <v>46207</v>
      </c>
      <c r="N289" s="44" t="str">
        <f t="shared" ca="1" si="69"/>
        <v>CERRADO</v>
      </c>
      <c r="O289" s="16"/>
      <c r="P289" s="84" t="str">
        <f>IFERROR(VLOOKUP(G289,Listas!$I$2:$J$23,2,FALSE),"")</f>
        <v>'Listas'!$R$2:$R$16</v>
      </c>
    </row>
    <row r="290" spans="1:16" ht="8.25" customHeight="1">
      <c r="A290" s="26">
        <v>288</v>
      </c>
      <c r="B290" s="17">
        <v>46232</v>
      </c>
      <c r="C290" s="20" t="s">
        <v>23</v>
      </c>
      <c r="D290" s="16" t="s">
        <v>681</v>
      </c>
      <c r="E290" s="16" t="s">
        <v>604</v>
      </c>
      <c r="F290" s="16"/>
      <c r="G290" s="42" t="s">
        <v>30</v>
      </c>
      <c r="H290" s="16" t="s">
        <v>30</v>
      </c>
      <c r="I290" s="16" t="str">
        <f>IF(G290="","",IFERROR(VLOOKUP(G290,Listas!$D$2:$E$23,2,FALSE),""))</f>
        <v>Brian Sarzosa</v>
      </c>
      <c r="J290" s="16" t="s">
        <v>682</v>
      </c>
      <c r="K290" s="16"/>
      <c r="L290" s="43"/>
      <c r="M290" s="43"/>
      <c r="N290" s="44" t="str">
        <f t="shared" ca="1" si="69"/>
        <v>ABIERTO</v>
      </c>
      <c r="O290" s="16"/>
      <c r="P290" s="84" t="str">
        <f>IFERROR(VLOOKUP(G290,Listas!$I$2:$J$23,2,FALSE),"")</f>
        <v>'Listas'!$N$2:$N$17</v>
      </c>
    </row>
    <row r="291" spans="1:16" ht="8.5500000000000007" customHeight="1">
      <c r="A291" s="26">
        <v>289</v>
      </c>
      <c r="B291" s="17">
        <v>46232</v>
      </c>
      <c r="C291" s="20" t="s">
        <v>23</v>
      </c>
      <c r="D291" s="16" t="s">
        <v>683</v>
      </c>
      <c r="E291" s="16" t="s">
        <v>684</v>
      </c>
      <c r="F291" s="16"/>
      <c r="G291" s="42" t="s">
        <v>30</v>
      </c>
      <c r="H291" s="16" t="s">
        <v>30</v>
      </c>
      <c r="I291" s="16" t="str">
        <f>IF(G291="","",IFERROR(VLOOKUP(G291,Listas!$D$2:$E$23,2,FALSE),""))</f>
        <v>Brian Sarzosa</v>
      </c>
      <c r="J291" s="16" t="s">
        <v>685</v>
      </c>
      <c r="K291" s="16"/>
      <c r="L291" s="43"/>
      <c r="M291" s="43"/>
      <c r="N291" s="44" t="str">
        <f t="shared" ca="1" si="69"/>
        <v>ABIERTO</v>
      </c>
      <c r="O291" s="16"/>
      <c r="P291" s="84" t="str">
        <f>IFERROR(VLOOKUP(G291,Listas!$I$2:$J$23,2,FALSE),"")</f>
        <v>'Listas'!$N$2:$N$17</v>
      </c>
    </row>
    <row r="292" spans="1:16" ht="7.05" customHeight="1">
      <c r="A292" s="26">
        <v>290</v>
      </c>
      <c r="B292" s="17">
        <v>46232</v>
      </c>
      <c r="C292" s="20" t="s">
        <v>23</v>
      </c>
      <c r="D292" s="16" t="s">
        <v>686</v>
      </c>
      <c r="E292" s="16" t="s">
        <v>604</v>
      </c>
      <c r="F292" s="16"/>
      <c r="G292" s="42" t="s">
        <v>30</v>
      </c>
      <c r="H292" s="16" t="s">
        <v>30</v>
      </c>
      <c r="I292" s="16" t="str">
        <f>IF(G292="","",IFERROR(VLOOKUP(G292,Listas!$D$2:$E$23,2,FALSE),""))</f>
        <v>Brian Sarzosa</v>
      </c>
      <c r="J292" s="16" t="s">
        <v>628</v>
      </c>
      <c r="K292" s="16"/>
      <c r="L292" s="43"/>
      <c r="M292" s="43">
        <v>46234</v>
      </c>
      <c r="N292" s="44" t="str">
        <f t="shared" ca="1" si="69"/>
        <v>CERRADO</v>
      </c>
      <c r="O292" s="16"/>
      <c r="P292" s="84" t="str">
        <f>IFERROR(VLOOKUP(G292,Listas!$I$2:$J$23,2,FALSE),"")</f>
        <v>'Listas'!$N$2:$N$17</v>
      </c>
    </row>
    <row r="293" spans="1:16" ht="7.05" customHeight="1">
      <c r="A293" s="26">
        <v>291</v>
      </c>
      <c r="B293" s="17">
        <v>46232</v>
      </c>
      <c r="C293" s="20" t="s">
        <v>23</v>
      </c>
      <c r="D293" s="16" t="s">
        <v>558</v>
      </c>
      <c r="E293" s="16" t="s">
        <v>614</v>
      </c>
      <c r="F293" s="16"/>
      <c r="G293" s="42" t="s">
        <v>30</v>
      </c>
      <c r="H293" s="16" t="s">
        <v>30</v>
      </c>
      <c r="I293" s="16" t="str">
        <f>IF(G293="","",IFERROR(VLOOKUP(G293,Listas!$D$2:$E$23,2,FALSE),""))</f>
        <v>Brian Sarzosa</v>
      </c>
      <c r="J293" s="16" t="s">
        <v>475</v>
      </c>
      <c r="K293" s="16"/>
      <c r="L293" s="43"/>
      <c r="M293" s="43">
        <v>46237</v>
      </c>
      <c r="N293" s="44" t="str">
        <f t="shared" ca="1" si="69"/>
        <v>CERRADO</v>
      </c>
      <c r="O293" s="16"/>
      <c r="P293" s="84" t="str">
        <f>IFERROR(VLOOKUP(G293,Listas!$I$2:$J$23,2,FALSE),"")</f>
        <v>'Listas'!$N$2:$N$17</v>
      </c>
    </row>
    <row r="294" spans="1:16" ht="6.15" customHeight="1">
      <c r="A294" s="26">
        <v>292</v>
      </c>
      <c r="B294" s="17">
        <v>46232</v>
      </c>
      <c r="C294" s="20" t="s">
        <v>23</v>
      </c>
      <c r="D294" s="16" t="s">
        <v>675</v>
      </c>
      <c r="E294" s="16" t="s">
        <v>630</v>
      </c>
      <c r="F294" s="16"/>
      <c r="G294" s="42" t="s">
        <v>30</v>
      </c>
      <c r="H294" s="16" t="s">
        <v>30</v>
      </c>
      <c r="I294" s="16" t="str">
        <f>IF(G294="","",IFERROR(VLOOKUP(G294,Listas!$D$2:$E$23,2,FALSE),""))</f>
        <v>Brian Sarzosa</v>
      </c>
      <c r="J294" s="16" t="s">
        <v>676</v>
      </c>
      <c r="K294" s="16"/>
      <c r="L294" s="43"/>
      <c r="M294" s="43">
        <v>46238</v>
      </c>
      <c r="N294" s="44" t="str">
        <f t="shared" ca="1" si="69"/>
        <v>CERRADO</v>
      </c>
      <c r="O294" s="16"/>
      <c r="P294" s="84" t="str">
        <f>IFERROR(VLOOKUP(G294,Listas!$I$2:$J$23,2,FALSE),"")</f>
        <v>'Listas'!$N$2:$N$17</v>
      </c>
    </row>
    <row r="295" spans="1:16" ht="7.95" customHeight="1">
      <c r="A295" s="26">
        <v>293</v>
      </c>
      <c r="B295" s="17">
        <v>46232</v>
      </c>
      <c r="C295" s="20" t="s">
        <v>23</v>
      </c>
      <c r="D295" s="16" t="s">
        <v>687</v>
      </c>
      <c r="E295" s="16" t="s">
        <v>48</v>
      </c>
      <c r="F295" s="16"/>
      <c r="G295" s="42" t="s">
        <v>30</v>
      </c>
      <c r="H295" s="16" t="s">
        <v>30</v>
      </c>
      <c r="I295" s="16" t="str">
        <f>IF(G295="","",IFERROR(VLOOKUP(G295,Listas!$D$2:$E$23,2,FALSE),""))</f>
        <v>Brian Sarzosa</v>
      </c>
      <c r="J295" s="16" t="s">
        <v>671</v>
      </c>
      <c r="K295" s="16"/>
      <c r="L295" s="43"/>
      <c r="M295" s="43">
        <v>46238</v>
      </c>
      <c r="N295" s="44" t="str">
        <f t="shared" ca="1" si="69"/>
        <v>CERRADO</v>
      </c>
      <c r="O295" s="16"/>
      <c r="P295" s="84" t="str">
        <f>IFERROR(VLOOKUP(G295,Listas!$I$2:$J$23,2,FALSE),"")</f>
        <v>'Listas'!$N$2:$N$17</v>
      </c>
    </row>
    <row r="296" spans="1:16" ht="8.5500000000000007" customHeight="1">
      <c r="A296" s="26">
        <v>294</v>
      </c>
      <c r="B296" s="17">
        <v>46232</v>
      </c>
      <c r="C296" s="20" t="s">
        <v>23</v>
      </c>
      <c r="D296" s="16" t="s">
        <v>688</v>
      </c>
      <c r="E296" s="16" t="s">
        <v>569</v>
      </c>
      <c r="F296" s="16"/>
      <c r="G296" s="42" t="s">
        <v>30</v>
      </c>
      <c r="H296" s="16" t="s">
        <v>30</v>
      </c>
      <c r="I296" s="16" t="str">
        <f>IF(G296="","",IFERROR(VLOOKUP(G296,Listas!$D$2:$E$23,2,FALSE),""))</f>
        <v>Brian Sarzosa</v>
      </c>
      <c r="J296" s="16" t="s">
        <v>689</v>
      </c>
      <c r="K296" s="16"/>
      <c r="L296" s="43"/>
      <c r="M296" s="43">
        <v>46206</v>
      </c>
      <c r="N296" s="44" t="str">
        <f t="shared" ca="1" si="69"/>
        <v>CERRADO</v>
      </c>
      <c r="O296" s="16"/>
      <c r="P296" s="84" t="str">
        <f>IFERROR(VLOOKUP(G296,Listas!$I$2:$J$23,2,FALSE),"")</f>
        <v>'Listas'!$N$2:$N$17</v>
      </c>
    </row>
    <row r="297" spans="1:16" ht="9.4499999999999993" customHeight="1">
      <c r="A297" s="26">
        <v>295</v>
      </c>
      <c r="B297" s="17">
        <v>46232</v>
      </c>
      <c r="C297" s="20" t="s">
        <v>23</v>
      </c>
      <c r="D297" s="16" t="s">
        <v>675</v>
      </c>
      <c r="E297" s="16" t="s">
        <v>630</v>
      </c>
      <c r="F297" s="16"/>
      <c r="G297" s="42" t="s">
        <v>57</v>
      </c>
      <c r="H297" s="16" t="s">
        <v>57</v>
      </c>
      <c r="I297" s="16" t="str">
        <f>IF(G297="","",IFERROR(VLOOKUP(G297,Listas!$D$2:$E$23,2,FALSE),""))</f>
        <v>Mario Guamán</v>
      </c>
      <c r="J297" s="16" t="s">
        <v>676</v>
      </c>
      <c r="K297" s="16"/>
      <c r="L297" s="43"/>
      <c r="M297" s="43">
        <v>46238</v>
      </c>
      <c r="N297" s="44" t="str">
        <f t="shared" ca="1" si="69"/>
        <v>CERRADO</v>
      </c>
      <c r="O297" s="16"/>
      <c r="P297" s="84" t="str">
        <f>IFERROR(VLOOKUP(G297,Listas!$I$2:$J$23,2,FALSE),"")</f>
        <v>'Listas'!$P$2:$P$16</v>
      </c>
    </row>
    <row r="298" spans="1:16" ht="7.95" customHeight="1">
      <c r="A298" s="26">
        <v>296</v>
      </c>
      <c r="B298" s="17">
        <v>46232</v>
      </c>
      <c r="C298" s="20" t="s">
        <v>23</v>
      </c>
      <c r="D298" s="16" t="s">
        <v>690</v>
      </c>
      <c r="E298" s="16" t="s">
        <v>630</v>
      </c>
      <c r="F298" s="16"/>
      <c r="G298" s="42" t="s">
        <v>57</v>
      </c>
      <c r="H298" s="16" t="s">
        <v>57</v>
      </c>
      <c r="I298" s="16" t="str">
        <f>IF(G298="","",IFERROR(VLOOKUP(G298,Listas!$D$2:$E$23,2,FALSE),""))</f>
        <v>Mario Guamán</v>
      </c>
      <c r="J298" s="16" t="s">
        <v>691</v>
      </c>
      <c r="K298" s="16"/>
      <c r="L298" s="43"/>
      <c r="M298" s="43">
        <v>46232</v>
      </c>
      <c r="N298" s="44" t="str">
        <f t="shared" ca="1" si="69"/>
        <v>CERRADO</v>
      </c>
      <c r="O298" s="16"/>
      <c r="P298" s="84" t="str">
        <f>IFERROR(VLOOKUP(G298,Listas!$I$2:$J$23,2,FALSE),"")</f>
        <v>'Listas'!$P$2:$P$16</v>
      </c>
    </row>
    <row r="299" spans="1:16" ht="7.95" customHeight="1">
      <c r="A299" s="26">
        <v>297</v>
      </c>
      <c r="B299" s="17">
        <v>46232</v>
      </c>
      <c r="C299" s="20" t="s">
        <v>23</v>
      </c>
      <c r="D299" s="16" t="s">
        <v>672</v>
      </c>
      <c r="E299" s="16" t="s">
        <v>692</v>
      </c>
      <c r="F299" s="16"/>
      <c r="G299" s="42" t="s">
        <v>57</v>
      </c>
      <c r="H299" s="16" t="s">
        <v>57</v>
      </c>
      <c r="I299" s="16" t="str">
        <f>IF(G299="","",IFERROR(VLOOKUP(G299,Listas!$D$2:$E$23,2,FALSE),""))</f>
        <v>Mario Guamán</v>
      </c>
      <c r="J299" s="16" t="s">
        <v>570</v>
      </c>
      <c r="K299" s="16"/>
      <c r="L299" s="43"/>
      <c r="M299" s="43">
        <v>46234</v>
      </c>
      <c r="N299" s="44" t="str">
        <f t="shared" ca="1" si="69"/>
        <v>CERRADO</v>
      </c>
      <c r="O299" s="16"/>
      <c r="P299" s="84" t="str">
        <f>IFERROR(VLOOKUP(G299,Listas!$I$2:$J$23,2,FALSE),"")</f>
        <v>'Listas'!$P$2:$P$16</v>
      </c>
    </row>
    <row r="300" spans="1:16" ht="6.15" customHeight="1">
      <c r="A300" s="26">
        <v>298</v>
      </c>
      <c r="B300" s="17">
        <v>46232</v>
      </c>
      <c r="C300" s="20" t="s">
        <v>23</v>
      </c>
      <c r="D300" s="16" t="s">
        <v>673</v>
      </c>
      <c r="E300" s="16" t="s">
        <v>656</v>
      </c>
      <c r="F300" s="16"/>
      <c r="G300" s="42" t="s">
        <v>57</v>
      </c>
      <c r="H300" s="16" t="s">
        <v>57</v>
      </c>
      <c r="I300" s="16" t="str">
        <f>IF(G300="","",IFERROR(VLOOKUP(G300,Listas!$D$2:$E$23,2,FALSE),""))</f>
        <v>Mario Guamán</v>
      </c>
      <c r="J300" s="16" t="s">
        <v>693</v>
      </c>
      <c r="K300" s="16"/>
      <c r="L300" s="43"/>
      <c r="M300" s="43">
        <v>46238</v>
      </c>
      <c r="N300" s="44" t="str">
        <f t="shared" ca="1" si="69"/>
        <v>CERRADO</v>
      </c>
      <c r="O300" s="16"/>
      <c r="P300" s="84" t="str">
        <f>IFERROR(VLOOKUP(G300,Listas!$I$2:$J$23,2,FALSE),"")</f>
        <v>'Listas'!$P$2:$P$16</v>
      </c>
    </row>
    <row r="301" spans="1:16" ht="8.85" customHeight="1">
      <c r="A301" s="26">
        <v>299</v>
      </c>
      <c r="B301" s="17">
        <v>46232</v>
      </c>
      <c r="C301" s="20" t="s">
        <v>23</v>
      </c>
      <c r="D301" s="16" t="s">
        <v>694</v>
      </c>
      <c r="E301" s="16" t="s">
        <v>279</v>
      </c>
      <c r="F301" s="16"/>
      <c r="G301" s="42" t="s">
        <v>57</v>
      </c>
      <c r="H301" s="16" t="s">
        <v>57</v>
      </c>
      <c r="I301" s="16" t="str">
        <f>IF(G301="","",IFERROR(VLOOKUP(G301,Listas!$D$2:$E$23,2,FALSE),""))</f>
        <v>Mario Guamán</v>
      </c>
      <c r="J301" s="16" t="s">
        <v>695</v>
      </c>
      <c r="K301" s="16"/>
      <c r="L301" s="43">
        <v>46265</v>
      </c>
      <c r="M301" s="43"/>
      <c r="N301" s="44" t="str">
        <f t="shared" ca="1" si="69"/>
        <v>EN PROCESO</v>
      </c>
      <c r="O301" s="16"/>
      <c r="P301" s="84" t="str">
        <f>IFERROR(VLOOKUP(G301,Listas!$I$2:$J$23,2,FALSE),"")</f>
        <v>'Listas'!$P$2:$P$16</v>
      </c>
    </row>
    <row r="302" spans="1:16" ht="9.3000000000000007" customHeight="1">
      <c r="A302" s="26">
        <v>300</v>
      </c>
      <c r="B302" s="17">
        <v>46232</v>
      </c>
      <c r="C302" s="20" t="s">
        <v>23</v>
      </c>
      <c r="D302" s="16" t="s">
        <v>696</v>
      </c>
      <c r="E302" s="16" t="s">
        <v>659</v>
      </c>
      <c r="F302" s="16"/>
      <c r="G302" s="42" t="s">
        <v>57</v>
      </c>
      <c r="H302" s="16" t="s">
        <v>57</v>
      </c>
      <c r="I302" s="16" t="str">
        <f>IF(G302="","",IFERROR(VLOOKUP(G302,Listas!$D$2:$E$23,2,FALSE),""))</f>
        <v>Mario Guamán</v>
      </c>
      <c r="J302" s="16" t="s">
        <v>695</v>
      </c>
      <c r="K302" s="16"/>
      <c r="L302" s="43">
        <v>46265</v>
      </c>
      <c r="M302" s="43"/>
      <c r="N302" s="44" t="str">
        <f t="shared" ca="1" si="69"/>
        <v>EN PROCESO</v>
      </c>
      <c r="O302" s="16"/>
      <c r="P302" s="84" t="str">
        <f>IFERROR(VLOOKUP(G302,Listas!$I$2:$J$23,2,FALSE),"")</f>
        <v>'Listas'!$P$2:$P$16</v>
      </c>
    </row>
    <row r="303" spans="1:16" ht="8.85" customHeight="1">
      <c r="A303" s="26">
        <v>301</v>
      </c>
      <c r="B303" s="17">
        <v>46232</v>
      </c>
      <c r="C303" s="20" t="s">
        <v>23</v>
      </c>
      <c r="D303" s="16" t="s">
        <v>697</v>
      </c>
      <c r="E303" s="16" t="s">
        <v>630</v>
      </c>
      <c r="F303" s="16"/>
      <c r="G303" s="42" t="s">
        <v>57</v>
      </c>
      <c r="H303" s="16" t="s">
        <v>57</v>
      </c>
      <c r="I303" s="16" t="str">
        <f>IF(G303="","",IFERROR(VLOOKUP(G303,Listas!$D$2:$E$23,2,FALSE),""))</f>
        <v>Mario Guamán</v>
      </c>
      <c r="J303" s="16" t="s">
        <v>626</v>
      </c>
      <c r="K303" s="16"/>
      <c r="L303" s="43"/>
      <c r="M303" s="43">
        <v>46238</v>
      </c>
      <c r="N303" s="44" t="str">
        <f t="shared" ca="1" si="69"/>
        <v>CERRADO</v>
      </c>
      <c r="O303" s="16"/>
      <c r="P303" s="84" t="str">
        <f>IFERROR(VLOOKUP(G303,Listas!$I$2:$J$23,2,FALSE),"")</f>
        <v>'Listas'!$P$2:$P$16</v>
      </c>
    </row>
    <row r="304" spans="1:16" ht="9.3000000000000007" customHeight="1">
      <c r="A304" s="26">
        <v>302</v>
      </c>
      <c r="B304" s="17">
        <v>46232</v>
      </c>
      <c r="C304" s="20" t="s">
        <v>23</v>
      </c>
      <c r="D304" s="16" t="s">
        <v>698</v>
      </c>
      <c r="E304" s="16" t="s">
        <v>692</v>
      </c>
      <c r="F304" s="16"/>
      <c r="G304" s="42" t="s">
        <v>57</v>
      </c>
      <c r="H304" s="16" t="s">
        <v>57</v>
      </c>
      <c r="I304" s="16" t="str">
        <f>IF(G304="","",IFERROR(VLOOKUP(G304,Listas!$D$2:$E$23,2,FALSE),""))</f>
        <v>Mario Guamán</v>
      </c>
      <c r="J304" s="16" t="s">
        <v>699</v>
      </c>
      <c r="K304" s="16"/>
      <c r="L304" s="43">
        <v>46232</v>
      </c>
      <c r="M304" s="43">
        <v>46202</v>
      </c>
      <c r="N304" s="44" t="str">
        <f t="shared" ca="1" si="69"/>
        <v>CERRADO</v>
      </c>
      <c r="O304" s="16"/>
      <c r="P304" s="84" t="str">
        <f>IFERROR(VLOOKUP(G304,Listas!$I$2:$J$23,2,FALSE),"")</f>
        <v>'Listas'!$P$2:$P$16</v>
      </c>
    </row>
    <row r="305" spans="1:16" ht="11.7" customHeight="1">
      <c r="A305" s="26">
        <v>303</v>
      </c>
      <c r="B305" s="17">
        <v>46232</v>
      </c>
      <c r="C305" s="20" t="s">
        <v>23</v>
      </c>
      <c r="D305" s="16" t="s">
        <v>558</v>
      </c>
      <c r="E305" s="16" t="s">
        <v>614</v>
      </c>
      <c r="F305" s="16"/>
      <c r="G305" s="42" t="s">
        <v>57</v>
      </c>
      <c r="H305" s="16" t="s">
        <v>57</v>
      </c>
      <c r="I305" s="16" t="str">
        <f>IF(G305="","",IFERROR(VLOOKUP(G305,Listas!$D$2:$E$23,2,FALSE),""))</f>
        <v>Mario Guamán</v>
      </c>
      <c r="J305" s="16" t="s">
        <v>475</v>
      </c>
      <c r="K305" s="16"/>
      <c r="L305" s="43"/>
      <c r="M305" s="43">
        <v>46237</v>
      </c>
      <c r="N305" s="44" t="str">
        <f t="shared" ca="1" si="69"/>
        <v>CERRADO</v>
      </c>
      <c r="O305" s="16"/>
      <c r="P305" s="84" t="str">
        <f>IFERROR(VLOOKUP(G305,Listas!$I$2:$J$23,2,FALSE),"")</f>
        <v>'Listas'!$P$2:$P$16</v>
      </c>
    </row>
    <row r="306" spans="1:16" ht="9.3000000000000007" customHeight="1">
      <c r="A306" s="26">
        <v>304</v>
      </c>
      <c r="B306" s="17">
        <v>46232</v>
      </c>
      <c r="C306" s="20" t="s">
        <v>23</v>
      </c>
      <c r="D306" s="16" t="s">
        <v>700</v>
      </c>
      <c r="E306" s="16" t="s">
        <v>692</v>
      </c>
      <c r="F306" s="16"/>
      <c r="G306" s="42" t="s">
        <v>57</v>
      </c>
      <c r="H306" s="16" t="s">
        <v>57</v>
      </c>
      <c r="I306" s="16" t="str">
        <f>IF(G306="","",IFERROR(VLOOKUP(G306,Listas!$D$2:$E$23,2,FALSE),""))</f>
        <v>Mario Guamán</v>
      </c>
      <c r="J306" s="16" t="s">
        <v>701</v>
      </c>
      <c r="K306" s="16"/>
      <c r="L306" s="43"/>
      <c r="M306" s="43"/>
      <c r="N306" s="44" t="str">
        <f t="shared" ca="1" si="69"/>
        <v>ABIERTO</v>
      </c>
      <c r="O306" s="16"/>
      <c r="P306" s="84" t="str">
        <f>IFERROR(VLOOKUP(G306,Listas!$I$2:$J$23,2,FALSE),"")</f>
        <v>'Listas'!$P$2:$P$16</v>
      </c>
    </row>
    <row r="307" spans="1:16" ht="8.85" customHeight="1">
      <c r="A307" s="26">
        <v>305</v>
      </c>
      <c r="B307" s="17">
        <v>46232</v>
      </c>
      <c r="C307" s="20" t="s">
        <v>23</v>
      </c>
      <c r="D307" s="16" t="s">
        <v>702</v>
      </c>
      <c r="E307" s="16" t="s">
        <v>290</v>
      </c>
      <c r="F307" s="16"/>
      <c r="G307" s="42" t="s">
        <v>57</v>
      </c>
      <c r="H307" s="16" t="s">
        <v>703</v>
      </c>
      <c r="I307" s="16" t="str">
        <f>IF(G307="","",IFERROR(VLOOKUP(G307,Listas!$D$2:$E$23,2,FALSE),""))</f>
        <v>Mario Guamán</v>
      </c>
      <c r="J307" s="16" t="s">
        <v>704</v>
      </c>
      <c r="K307" s="16"/>
      <c r="L307" s="43"/>
      <c r="M307" s="43">
        <v>46234</v>
      </c>
      <c r="N307" s="44" t="str">
        <f t="shared" ca="1" si="69"/>
        <v>CERRADO</v>
      </c>
      <c r="O307" s="16"/>
      <c r="P307" s="84" t="str">
        <f>IFERROR(VLOOKUP(G307,Listas!$I$2:$J$23,2,FALSE),"")</f>
        <v>'Listas'!$P$2:$P$16</v>
      </c>
    </row>
    <row r="308" spans="1:16" ht="7.95" customHeight="1">
      <c r="A308" s="26">
        <v>306</v>
      </c>
      <c r="B308" s="17">
        <v>46232</v>
      </c>
      <c r="C308" s="20" t="s">
        <v>23</v>
      </c>
      <c r="D308" s="16" t="s">
        <v>705</v>
      </c>
      <c r="E308" s="16" t="s">
        <v>64</v>
      </c>
      <c r="F308" s="16"/>
      <c r="G308" s="42" t="s">
        <v>57</v>
      </c>
      <c r="H308" s="16" t="s">
        <v>57</v>
      </c>
      <c r="I308" s="16" t="str">
        <f>IF(G308="","",IFERROR(VLOOKUP(G308,Listas!$D$2:$E$23,2,FALSE),""))</f>
        <v>Mario Guamán</v>
      </c>
      <c r="J308" s="16" t="s">
        <v>706</v>
      </c>
      <c r="K308" s="16"/>
      <c r="L308" s="43">
        <v>46265</v>
      </c>
      <c r="M308" s="43"/>
      <c r="N308" s="44" t="str">
        <f t="shared" ca="1" si="69"/>
        <v>EN PROCESO</v>
      </c>
      <c r="O308" s="16"/>
      <c r="P308" s="84" t="str">
        <f>IFERROR(VLOOKUP(G308,Listas!$I$2:$J$23,2,FALSE),"")</f>
        <v>'Listas'!$P$2:$P$16</v>
      </c>
    </row>
    <row r="309" spans="1:16">
      <c r="A309" s="26">
        <v>307</v>
      </c>
      <c r="B309" s="17">
        <v>46232</v>
      </c>
      <c r="C309" s="20" t="s">
        <v>23</v>
      </c>
      <c r="D309" s="16" t="s">
        <v>707</v>
      </c>
      <c r="E309" s="16" t="s">
        <v>630</v>
      </c>
      <c r="F309" s="16"/>
      <c r="G309" s="42" t="s">
        <v>57</v>
      </c>
      <c r="H309" s="16" t="s">
        <v>57</v>
      </c>
      <c r="I309" s="16" t="str">
        <f>IF(G309="","",IFERROR(VLOOKUP(G309,Listas!$D$2:$E$23,2,FALSE),""))</f>
        <v>Mario Guamán</v>
      </c>
      <c r="J309" s="16" t="s">
        <v>708</v>
      </c>
      <c r="K309" s="16"/>
      <c r="L309" s="43">
        <v>46233</v>
      </c>
      <c r="M309" s="43">
        <v>46233</v>
      </c>
      <c r="N309" s="44" t="str">
        <f t="shared" ca="1" si="69"/>
        <v>CERRADO</v>
      </c>
      <c r="O309" s="16"/>
      <c r="P309" s="84" t="str">
        <f>IFERROR(VLOOKUP(G309,Listas!$I$2:$J$23,2,FALSE),"")</f>
        <v>'Listas'!$P$2:$P$16</v>
      </c>
    </row>
    <row r="310" spans="1:16" ht="28.8">
      <c r="A310" s="26">
        <v>308</v>
      </c>
      <c r="B310" s="17">
        <v>46232</v>
      </c>
      <c r="C310" s="20" t="s">
        <v>23</v>
      </c>
      <c r="D310" s="16" t="s">
        <v>709</v>
      </c>
      <c r="E310" s="16" t="s">
        <v>684</v>
      </c>
      <c r="F310" s="16"/>
      <c r="G310" s="42" t="s">
        <v>57</v>
      </c>
      <c r="H310" s="16" t="s">
        <v>57</v>
      </c>
      <c r="I310" s="16" t="str">
        <f>IF(G310="","",IFERROR(VLOOKUP(G310,Listas!$D$2:$E$23,2,FALSE),""))</f>
        <v>Mario Guamán</v>
      </c>
      <c r="J310" s="16" t="s">
        <v>710</v>
      </c>
      <c r="K310" s="16"/>
      <c r="L310" s="43">
        <v>46265</v>
      </c>
      <c r="M310" s="43"/>
      <c r="N310" s="44" t="str">
        <f t="shared" ca="1" si="69"/>
        <v>EN PROCESO</v>
      </c>
      <c r="O310" s="16"/>
      <c r="P310" s="84" t="str">
        <f>IFERROR(VLOOKUP(G310,Listas!$I$2:$J$23,2,FALSE),"")</f>
        <v>'Listas'!$P$2:$P$16</v>
      </c>
    </row>
    <row r="311" spans="1:16" ht="28.8">
      <c r="A311" s="26">
        <v>309</v>
      </c>
      <c r="B311" s="17">
        <v>46232</v>
      </c>
      <c r="C311" s="20" t="s">
        <v>23</v>
      </c>
      <c r="D311" s="16" t="s">
        <v>711</v>
      </c>
      <c r="E311" s="16" t="s">
        <v>279</v>
      </c>
      <c r="F311" s="16"/>
      <c r="G311" s="42" t="s">
        <v>57</v>
      </c>
      <c r="H311" s="16" t="s">
        <v>57</v>
      </c>
      <c r="I311" s="16" t="str">
        <f>IF(G311="","",IFERROR(VLOOKUP(G311,Listas!$D$2:$E$23,2,FALSE),""))</f>
        <v>Mario Guamán</v>
      </c>
      <c r="J311" s="16" t="s">
        <v>695</v>
      </c>
      <c r="K311" s="16"/>
      <c r="L311" s="43">
        <v>46388</v>
      </c>
      <c r="M311" s="43"/>
      <c r="N311" s="44" t="str">
        <f t="shared" ca="1" si="69"/>
        <v>EN PROCESO</v>
      </c>
      <c r="O311" s="16"/>
      <c r="P311" s="84" t="str">
        <f>IFERROR(VLOOKUP(G311,Listas!$I$2:$J$23,2,FALSE),"")</f>
        <v>'Listas'!$P$2:$P$16</v>
      </c>
    </row>
    <row r="312" spans="1:16">
      <c r="A312" s="26">
        <v>310</v>
      </c>
      <c r="B312" s="17">
        <v>46232</v>
      </c>
      <c r="C312" s="20" t="s">
        <v>23</v>
      </c>
      <c r="D312" s="16" t="s">
        <v>712</v>
      </c>
      <c r="E312" s="16" t="s">
        <v>569</v>
      </c>
      <c r="F312" s="16"/>
      <c r="G312" s="42" t="s">
        <v>30</v>
      </c>
      <c r="H312" s="16" t="s">
        <v>65</v>
      </c>
      <c r="I312" s="16" t="str">
        <f>IF(G312="","",IFERROR(VLOOKUP(G312,Listas!$D$2:$E$23,2,FALSE),""))</f>
        <v>Brian Sarzosa</v>
      </c>
      <c r="J312" s="16" t="s">
        <v>713</v>
      </c>
      <c r="K312" s="16"/>
      <c r="L312" s="43"/>
      <c r="M312" s="43">
        <v>46237</v>
      </c>
      <c r="N312" s="44" t="str">
        <f t="shared" ca="1" si="69"/>
        <v>CERRADO</v>
      </c>
      <c r="O312" s="16"/>
      <c r="P312" s="84" t="str">
        <f>IFERROR(VLOOKUP(G312,Listas!$I$2:$J$23,2,FALSE),"")</f>
        <v>'Listas'!$N$2:$N$17</v>
      </c>
    </row>
    <row r="313" spans="1:16">
      <c r="A313" s="26">
        <v>311</v>
      </c>
      <c r="B313" s="14">
        <v>46232</v>
      </c>
      <c r="C313" s="20" t="s">
        <v>16</v>
      </c>
      <c r="D313" s="16" t="s">
        <v>714</v>
      </c>
      <c r="E313" s="15" t="s">
        <v>573</v>
      </c>
      <c r="F313" s="15"/>
      <c r="G313" s="26" t="s">
        <v>69</v>
      </c>
      <c r="H313" s="15" t="s">
        <v>312</v>
      </c>
      <c r="I313" s="15" t="str">
        <f>IF(G313="","",IFERROR(VLOOKUP(G313,Listas!$D$2:$E$23,2,FALSE),""))</f>
        <v>Edison Lema</v>
      </c>
      <c r="J313" s="15" t="s">
        <v>715</v>
      </c>
      <c r="K313" s="15"/>
      <c r="L313" s="8"/>
      <c r="M313" s="8">
        <v>46237</v>
      </c>
      <c r="N313" s="10" t="str">
        <f t="shared" ca="1" si="69"/>
        <v>CERRADO</v>
      </c>
      <c r="O313" s="15"/>
      <c r="P313" s="84" t="str">
        <f>IFERROR(VLOOKUP(G313,Listas!$I$2:$J$23,2,FALSE),"")</f>
        <v>'Listas'!$R$2:$R$16</v>
      </c>
    </row>
    <row r="314" spans="1:16">
      <c r="A314" s="26">
        <v>312</v>
      </c>
      <c r="B314" s="17">
        <v>46233</v>
      </c>
      <c r="C314" s="20" t="s">
        <v>23</v>
      </c>
      <c r="D314" s="16" t="s">
        <v>716</v>
      </c>
      <c r="E314" s="16" t="s">
        <v>717</v>
      </c>
      <c r="F314" s="16"/>
      <c r="G314" s="42" t="s">
        <v>718</v>
      </c>
      <c r="H314" s="16" t="s">
        <v>356</v>
      </c>
      <c r="I314" s="16" t="str">
        <f>IF(G314="","",IFERROR(VLOOKUP(G314,Listas!$D$2:$E$23,2,FALSE),""))</f>
        <v>Henry Narváez</v>
      </c>
      <c r="J314" s="16" t="s">
        <v>719</v>
      </c>
      <c r="K314" s="16"/>
      <c r="L314" s="43"/>
      <c r="M314" s="43"/>
      <c r="N314" s="44" t="str">
        <f t="shared" ca="1" si="69"/>
        <v>ABIERTO</v>
      </c>
      <c r="O314" s="16"/>
      <c r="P314" s="84" t="str">
        <f>IFERROR(VLOOKUP(G314,Listas!$I$2:$J$23,2,FALSE),"")</f>
        <v>'Listas'!$K$10:$K$10</v>
      </c>
    </row>
    <row r="315" spans="1:16">
      <c r="A315" s="26">
        <v>313</v>
      </c>
      <c r="B315" s="17">
        <v>46233</v>
      </c>
      <c r="C315" s="20" t="s">
        <v>23</v>
      </c>
      <c r="D315" s="16" t="s">
        <v>720</v>
      </c>
      <c r="E315" s="16" t="s">
        <v>721</v>
      </c>
      <c r="F315" s="16" t="s">
        <v>722</v>
      </c>
      <c r="G315" s="42" t="s">
        <v>54</v>
      </c>
      <c r="H315" s="16" t="s">
        <v>54</v>
      </c>
      <c r="I315" s="16" t="str">
        <f>IF(G315="","",IFERROR(VLOOKUP(G315,Listas!$D$2:$E$23,2,FALSE),""))</f>
        <v>Daniel Espinoza</v>
      </c>
      <c r="J315" s="16" t="s">
        <v>723</v>
      </c>
      <c r="K315" s="16"/>
      <c r="L315" s="43">
        <v>46241</v>
      </c>
      <c r="M315" s="43"/>
      <c r="N315" s="44" t="str">
        <f t="shared" ca="1" si="69"/>
        <v>ABIERTO</v>
      </c>
      <c r="O315" s="16"/>
      <c r="P315" s="84" t="str">
        <f>IFERROR(VLOOKUP(G315,Listas!$I$2:$J$23,2,FALSE),"")</f>
        <v>'Listas'!$O$2:$O$15</v>
      </c>
    </row>
    <row r="316" spans="1:16" ht="28.8">
      <c r="A316" s="26">
        <v>314</v>
      </c>
      <c r="B316" s="58">
        <v>46233</v>
      </c>
      <c r="C316" s="20" t="s">
        <v>23</v>
      </c>
      <c r="D316" s="48" t="s">
        <v>724</v>
      </c>
      <c r="E316" s="48" t="s">
        <v>725</v>
      </c>
      <c r="F316" s="48" t="s">
        <v>722</v>
      </c>
      <c r="G316" s="63" t="s">
        <v>54</v>
      </c>
      <c r="H316" s="48" t="s">
        <v>54</v>
      </c>
      <c r="I316" s="48" t="str">
        <f>IF(G316="","",IFERROR(VLOOKUP(G316,Listas!$D$2:$E$23,2,FALSE),""))</f>
        <v>Daniel Espinoza</v>
      </c>
      <c r="J316" s="48" t="s">
        <v>726</v>
      </c>
      <c r="K316" s="48"/>
      <c r="L316" s="65">
        <v>46255</v>
      </c>
      <c r="M316" s="65"/>
      <c r="N316" s="64" t="str">
        <f t="shared" ca="1" si="69"/>
        <v>EN PROCESO</v>
      </c>
      <c r="O316" s="48"/>
      <c r="P316" s="84" t="str">
        <f>IFERROR(VLOOKUP(G316,Listas!$I$2:$J$23,2,FALSE),"")</f>
        <v>'Listas'!$O$2:$O$15</v>
      </c>
    </row>
    <row r="317" spans="1:16" ht="28.8">
      <c r="A317" s="26">
        <v>315</v>
      </c>
      <c r="B317" s="17">
        <v>46233</v>
      </c>
      <c r="C317" s="20" t="s">
        <v>23</v>
      </c>
      <c r="D317" s="16" t="s">
        <v>727</v>
      </c>
      <c r="E317" s="16" t="s">
        <v>728</v>
      </c>
      <c r="F317" s="16" t="s">
        <v>729</v>
      </c>
      <c r="G317" s="36" t="s">
        <v>54</v>
      </c>
      <c r="H317" s="16" t="s">
        <v>54</v>
      </c>
      <c r="I317" s="16" t="str">
        <f>IF(G317="","",IFERROR(VLOOKUP(G317,Listas!$D$2:$E$23,2,FALSE),""))</f>
        <v>Daniel Espinoza</v>
      </c>
      <c r="J317" s="16" t="s">
        <v>730</v>
      </c>
      <c r="K317" s="16"/>
      <c r="L317" s="17">
        <v>46248</v>
      </c>
      <c r="M317" s="17"/>
      <c r="N317" s="16" t="str">
        <f t="shared" ca="1" si="69"/>
        <v>EN PROCESO</v>
      </c>
      <c r="O317" s="16"/>
      <c r="P317" s="84" t="str">
        <f>IFERROR(VLOOKUP(G317,Listas!$I$2:$J$23,2,FALSE),"")</f>
        <v>'Listas'!$O$2:$O$15</v>
      </c>
    </row>
    <row r="318" spans="1:16" ht="28.8">
      <c r="A318" s="26">
        <v>316</v>
      </c>
      <c r="B318" s="17">
        <v>46233</v>
      </c>
      <c r="C318" s="20" t="s">
        <v>23</v>
      </c>
      <c r="D318" s="16" t="s">
        <v>731</v>
      </c>
      <c r="E318" s="16" t="s">
        <v>732</v>
      </c>
      <c r="F318" s="16" t="s">
        <v>722</v>
      </c>
      <c r="G318" s="36" t="s">
        <v>54</v>
      </c>
      <c r="H318" s="16" t="s">
        <v>54</v>
      </c>
      <c r="I318" s="16" t="str">
        <f>IF(G318="","",IFERROR(VLOOKUP(G318,Listas!$D$2:$E$23,2,FALSE),""))</f>
        <v>Daniel Espinoza</v>
      </c>
      <c r="J318" s="16" t="s">
        <v>733</v>
      </c>
      <c r="K318" s="16"/>
      <c r="L318" s="17">
        <v>46248</v>
      </c>
      <c r="M318" s="17"/>
      <c r="N318" s="16" t="str">
        <f t="shared" ca="1" si="69"/>
        <v>EN PROCESO</v>
      </c>
      <c r="O318" s="16"/>
      <c r="P318" s="84" t="str">
        <f>IFERROR(VLOOKUP(G318,Listas!$I$2:$J$23,2,FALSE),"")</f>
        <v>'Listas'!$O$2:$O$15</v>
      </c>
    </row>
    <row r="319" spans="1:16" ht="28.8">
      <c r="A319" s="26">
        <v>317</v>
      </c>
      <c r="B319" s="17">
        <v>46233</v>
      </c>
      <c r="C319" s="20" t="s">
        <v>23</v>
      </c>
      <c r="D319" s="16" t="s">
        <v>734</v>
      </c>
      <c r="E319" s="16" t="s">
        <v>735</v>
      </c>
      <c r="F319" s="16" t="s">
        <v>722</v>
      </c>
      <c r="G319" s="36" t="s">
        <v>54</v>
      </c>
      <c r="H319" s="16" t="s">
        <v>54</v>
      </c>
      <c r="I319" s="16" t="str">
        <f>IF(G319="","",IFERROR(VLOOKUP(G319,Listas!$D$2:$E$23,2,FALSE),""))</f>
        <v>Daniel Espinoza</v>
      </c>
      <c r="J319" s="16" t="s">
        <v>736</v>
      </c>
      <c r="K319" s="16"/>
      <c r="L319" s="17">
        <v>46248</v>
      </c>
      <c r="M319" s="17"/>
      <c r="N319" s="16" t="str">
        <f t="shared" ca="1" si="69"/>
        <v>EN PROCESO</v>
      </c>
      <c r="O319" s="16"/>
      <c r="P319" s="84" t="str">
        <f>IFERROR(VLOOKUP(G319,Listas!$I$2:$J$23,2,FALSE),"")</f>
        <v>'Listas'!$O$2:$O$15</v>
      </c>
    </row>
    <row r="320" spans="1:16" ht="28.8">
      <c r="A320" s="26">
        <v>318</v>
      </c>
      <c r="B320" s="17">
        <v>46233</v>
      </c>
      <c r="C320" s="20" t="s">
        <v>23</v>
      </c>
      <c r="D320" s="16" t="s">
        <v>737</v>
      </c>
      <c r="E320" s="16" t="s">
        <v>738</v>
      </c>
      <c r="F320" s="16" t="s">
        <v>722</v>
      </c>
      <c r="G320" s="36" t="s">
        <v>54</v>
      </c>
      <c r="H320" s="16" t="s">
        <v>54</v>
      </c>
      <c r="I320" s="16" t="str">
        <f>IF(G320="","",IFERROR(VLOOKUP(G320,Listas!$D$2:$E$23,2,FALSE),""))</f>
        <v>Daniel Espinoza</v>
      </c>
      <c r="J320" s="16" t="s">
        <v>730</v>
      </c>
      <c r="K320" s="16"/>
      <c r="L320" s="17">
        <v>46248</v>
      </c>
      <c r="M320" s="17"/>
      <c r="N320" s="16" t="str">
        <f t="shared" ca="1" si="69"/>
        <v>EN PROCESO</v>
      </c>
      <c r="O320" s="16"/>
      <c r="P320" s="84" t="str">
        <f>IFERROR(VLOOKUP(G320,Listas!$I$2:$J$23,2,FALSE),"")</f>
        <v>'Listas'!$O$2:$O$15</v>
      </c>
    </row>
    <row r="321" spans="1:16">
      <c r="A321" s="26">
        <v>319</v>
      </c>
      <c r="B321" s="17">
        <v>46233</v>
      </c>
      <c r="C321" s="20" t="s">
        <v>23</v>
      </c>
      <c r="D321" s="16" t="s">
        <v>739</v>
      </c>
      <c r="E321" s="16" t="s">
        <v>740</v>
      </c>
      <c r="F321" s="16" t="s">
        <v>729</v>
      </c>
      <c r="G321" s="36" t="s">
        <v>54</v>
      </c>
      <c r="H321" s="16" t="s">
        <v>54</v>
      </c>
      <c r="I321" s="16" t="str">
        <f>IF(G321="","",IFERROR(VLOOKUP(G321,Listas!$D$2:$E$23,2,FALSE),""))</f>
        <v>Daniel Espinoza</v>
      </c>
      <c r="J321" s="16" t="s">
        <v>741</v>
      </c>
      <c r="K321" s="16"/>
      <c r="L321" s="17"/>
      <c r="M321" s="17" t="s">
        <v>742</v>
      </c>
      <c r="N321" s="16" t="str">
        <f t="shared" ca="1" si="69"/>
        <v>CERRADO</v>
      </c>
      <c r="O321" s="16"/>
      <c r="P321" s="84" t="str">
        <f>IFERROR(VLOOKUP(G321,Listas!$I$2:$J$23,2,FALSE),"")</f>
        <v>'Listas'!$O$2:$O$15</v>
      </c>
    </row>
    <row r="322" spans="1:16">
      <c r="A322" s="26">
        <v>320</v>
      </c>
      <c r="B322" s="17">
        <v>46233</v>
      </c>
      <c r="C322" s="20" t="s">
        <v>23</v>
      </c>
      <c r="D322" s="16" t="s">
        <v>743</v>
      </c>
      <c r="E322" s="16" t="s">
        <v>744</v>
      </c>
      <c r="F322" s="16" t="s">
        <v>729</v>
      </c>
      <c r="G322" s="36" t="s">
        <v>69</v>
      </c>
      <c r="H322" s="16" t="s">
        <v>312</v>
      </c>
      <c r="I322" s="16" t="str">
        <f>IF(G322="","",IFERROR(VLOOKUP(G322,Listas!$D$2:$E$23,2,FALSE),""))</f>
        <v>Edison Lema</v>
      </c>
      <c r="J322" s="16" t="s">
        <v>745</v>
      </c>
      <c r="K322" s="16"/>
      <c r="L322" s="17"/>
      <c r="M322" s="17"/>
      <c r="N322" s="16" t="str">
        <f t="shared" ca="1" si="69"/>
        <v>ABIERTO</v>
      </c>
      <c r="O322" s="16"/>
      <c r="P322" s="84" t="str">
        <f>IFERROR(VLOOKUP(G322,Listas!$I$2:$J$23,2,FALSE),"")</f>
        <v>'Listas'!$R$2:$R$16</v>
      </c>
    </row>
    <row r="323" spans="1:16">
      <c r="A323" s="26">
        <v>321</v>
      </c>
      <c r="B323" s="17">
        <v>46233</v>
      </c>
      <c r="C323" s="20" t="s">
        <v>23</v>
      </c>
      <c r="D323" s="16" t="s">
        <v>746</v>
      </c>
      <c r="E323" s="16" t="s">
        <v>747</v>
      </c>
      <c r="F323" s="16" t="s">
        <v>729</v>
      </c>
      <c r="G323" s="36" t="s">
        <v>748</v>
      </c>
      <c r="H323" s="36" t="s">
        <v>749</v>
      </c>
      <c r="I323" s="36" t="str">
        <f>IF(G323="","",IFERROR(VLOOKUP(G323,Listas!$D$2:$E$23,2,FALSE),""))</f>
        <v>Luis Pilco</v>
      </c>
      <c r="J323" s="36" t="s">
        <v>750</v>
      </c>
      <c r="K323" s="36" t="s">
        <v>749</v>
      </c>
      <c r="L323" s="17">
        <v>46233</v>
      </c>
      <c r="M323" s="17">
        <v>46233</v>
      </c>
      <c r="N323" s="16" t="str">
        <f t="shared" ca="1" si="69"/>
        <v>CERRADO</v>
      </c>
      <c r="O323" s="16"/>
      <c r="P323" s="84" t="str">
        <f>IFERROR(VLOOKUP(G323,Listas!$I$2:$J$23,2,FALSE),"")</f>
        <v>'Listas'!$R$2:$R$16</v>
      </c>
    </row>
    <row r="324" spans="1:16" ht="28.8">
      <c r="A324" s="26">
        <v>322</v>
      </c>
      <c r="B324" s="17">
        <v>46233</v>
      </c>
      <c r="C324" s="20" t="s">
        <v>23</v>
      </c>
      <c r="D324" s="16" t="s">
        <v>751</v>
      </c>
      <c r="E324" s="16" t="s">
        <v>752</v>
      </c>
      <c r="F324" s="16" t="s">
        <v>722</v>
      </c>
      <c r="G324" s="36" t="s">
        <v>748</v>
      </c>
      <c r="H324" s="36" t="s">
        <v>749</v>
      </c>
      <c r="I324" s="36" t="str">
        <f>IF(G324="","",IFERROR(VLOOKUP(G324,Listas!$D$2:$E$23,2,FALSE),""))</f>
        <v>Luis Pilco</v>
      </c>
      <c r="J324" s="36" t="s">
        <v>753</v>
      </c>
      <c r="K324" s="36" t="s">
        <v>749</v>
      </c>
      <c r="L324" s="17">
        <v>46233</v>
      </c>
      <c r="M324" s="17">
        <v>46233</v>
      </c>
      <c r="N324" s="16" t="str">
        <f t="shared" ca="1" si="69"/>
        <v>CERRADO</v>
      </c>
      <c r="O324" s="16"/>
      <c r="P324" s="84" t="str">
        <f>IFERROR(VLOOKUP(G324,Listas!$I$2:$J$23,2,FALSE),"")</f>
        <v>'Listas'!$R$2:$R$16</v>
      </c>
    </row>
    <row r="325" spans="1:16" ht="28.8">
      <c r="A325" s="26">
        <v>323</v>
      </c>
      <c r="B325" s="17">
        <v>46234</v>
      </c>
      <c r="C325" s="20" t="s">
        <v>23</v>
      </c>
      <c r="D325" s="16" t="s">
        <v>754</v>
      </c>
      <c r="E325" s="16" t="s">
        <v>755</v>
      </c>
      <c r="F325" s="16" t="s">
        <v>756</v>
      </c>
      <c r="G325" s="36" t="s">
        <v>748</v>
      </c>
      <c r="H325" s="36" t="s">
        <v>749</v>
      </c>
      <c r="I325" s="36" t="str">
        <f>IF(G325="","",IFERROR(VLOOKUP(G325,Listas!$D$2:$E$23,2,FALSE),""))</f>
        <v>Luis Pilco</v>
      </c>
      <c r="J325" s="36" t="s">
        <v>757</v>
      </c>
      <c r="K325" s="36" t="s">
        <v>749</v>
      </c>
      <c r="L325" s="17">
        <v>46234</v>
      </c>
      <c r="M325" s="17">
        <v>46234</v>
      </c>
      <c r="N325" s="16" t="str">
        <f t="shared" ca="1" si="69"/>
        <v>CERRADO</v>
      </c>
      <c r="O325" s="16"/>
      <c r="P325" s="84" t="str">
        <f>IFERROR(VLOOKUP(G325,Listas!$I$2:$J$23,2,FALSE),"")</f>
        <v>'Listas'!$R$2:$R$16</v>
      </c>
    </row>
    <row r="326" spans="1:16">
      <c r="A326" s="26">
        <v>324</v>
      </c>
      <c r="B326" s="17">
        <v>46234</v>
      </c>
      <c r="C326" s="20" t="s">
        <v>23</v>
      </c>
      <c r="D326" s="16" t="s">
        <v>758</v>
      </c>
      <c r="E326" s="16" t="s">
        <v>759</v>
      </c>
      <c r="F326" s="16" t="s">
        <v>729</v>
      </c>
      <c r="G326" s="36" t="s">
        <v>748</v>
      </c>
      <c r="H326" s="36" t="s">
        <v>749</v>
      </c>
      <c r="I326" s="36" t="str">
        <f>IF(G326="","",IFERROR(VLOOKUP(G326,Listas!$D$2:$E$23,2,FALSE),""))</f>
        <v>Luis Pilco</v>
      </c>
      <c r="J326" s="36" t="s">
        <v>760</v>
      </c>
      <c r="K326" s="36" t="s">
        <v>749</v>
      </c>
      <c r="L326" s="17">
        <v>46234</v>
      </c>
      <c r="M326" s="17">
        <v>46234</v>
      </c>
      <c r="N326" s="16" t="str">
        <f t="shared" ca="1" si="69"/>
        <v>CERRADO</v>
      </c>
      <c r="O326" s="16"/>
      <c r="P326" s="84" t="str">
        <f>IFERROR(VLOOKUP(G326,Listas!$I$2:$J$23,2,FALSE),"")</f>
        <v>'Listas'!$R$2:$R$16</v>
      </c>
    </row>
    <row r="327" spans="1:16">
      <c r="A327" s="26">
        <v>325</v>
      </c>
      <c r="B327" s="17">
        <v>46233</v>
      </c>
      <c r="C327" s="20" t="s">
        <v>23</v>
      </c>
      <c r="D327" s="16" t="s">
        <v>761</v>
      </c>
      <c r="E327" s="16" t="s">
        <v>762</v>
      </c>
      <c r="F327" s="16"/>
      <c r="G327" s="36" t="s">
        <v>763</v>
      </c>
      <c r="H327" s="16" t="s">
        <v>300</v>
      </c>
      <c r="I327" s="16" t="str">
        <f>IF(G327="","",IFERROR(VLOOKUP(G327,Listas!$D$2:$E$23,2,FALSE),""))</f>
        <v>Gabriel Garzón</v>
      </c>
      <c r="J327" s="16" t="s">
        <v>764</v>
      </c>
      <c r="K327" s="16"/>
      <c r="L327" s="17"/>
      <c r="M327" s="17"/>
      <c r="N327" s="16" t="str">
        <f t="shared" ca="1" si="69"/>
        <v>ABIERTO</v>
      </c>
      <c r="O327" s="16"/>
      <c r="P327" s="84" t="str">
        <f>IFERROR(VLOOKUP(G327,Listas!$I$2:$J$23,2,FALSE),"")</f>
        <v>'Listas'!$K$23:$K$23</v>
      </c>
    </row>
    <row r="328" spans="1:16" ht="28.8">
      <c r="A328" s="26">
        <v>326</v>
      </c>
      <c r="B328" s="17">
        <v>46234</v>
      </c>
      <c r="C328" s="20" t="s">
        <v>23</v>
      </c>
      <c r="D328" s="16" t="s">
        <v>765</v>
      </c>
      <c r="E328" s="16"/>
      <c r="F328" s="16"/>
      <c r="G328" s="36" t="s">
        <v>763</v>
      </c>
      <c r="H328" s="16" t="s">
        <v>30</v>
      </c>
      <c r="I328" s="16" t="str">
        <f>IF(G328="","",IFERROR(VLOOKUP(G328,Listas!$D$2:$E$23,2,FALSE),""))</f>
        <v>Gabriel Garzón</v>
      </c>
      <c r="J328" s="16" t="s">
        <v>766</v>
      </c>
      <c r="K328" s="16"/>
      <c r="L328" s="17"/>
      <c r="M328" s="17"/>
      <c r="N328" s="16" t="str">
        <f t="shared" ca="1" si="69"/>
        <v>ABIERTO</v>
      </c>
      <c r="O328" s="16"/>
      <c r="P328" s="84" t="str">
        <f>IFERROR(VLOOKUP(G328,Listas!$I$2:$J$23,2,FALSE),"")</f>
        <v>'Listas'!$K$23:$K$23</v>
      </c>
    </row>
    <row r="329" spans="1:16">
      <c r="A329" s="26">
        <v>327</v>
      </c>
      <c r="B329" s="17">
        <v>46234</v>
      </c>
      <c r="C329" s="20" t="s">
        <v>23</v>
      </c>
      <c r="D329" s="16" t="s">
        <v>767</v>
      </c>
      <c r="E329" s="16"/>
      <c r="F329" s="16"/>
      <c r="G329" s="36" t="s">
        <v>52</v>
      </c>
      <c r="H329" s="16" t="s">
        <v>30</v>
      </c>
      <c r="I329" s="16" t="str">
        <f>IF(G329="","",IFERROR(VLOOKUP(G329,Listas!$D$2:$E$23,2,FALSE),""))</f>
        <v>André Cobo</v>
      </c>
      <c r="J329" s="16" t="s">
        <v>768</v>
      </c>
      <c r="K329" s="16"/>
      <c r="L329" s="17"/>
      <c r="M329" s="17"/>
      <c r="N329" s="16" t="str">
        <f t="shared" ca="1" si="69"/>
        <v>ABIERTO</v>
      </c>
      <c r="O329" s="16"/>
      <c r="P329" s="84" t="str">
        <f>IFERROR(VLOOKUP(G329,Listas!$I$2:$J$23,2,FALSE),"")</f>
        <v>'Listas'!$K$7:$K$7</v>
      </c>
    </row>
    <row r="330" spans="1:16" ht="28.8">
      <c r="A330" s="26">
        <v>328</v>
      </c>
      <c r="B330" s="17">
        <v>46234</v>
      </c>
      <c r="C330" s="20" t="s">
        <v>23</v>
      </c>
      <c r="D330" s="16" t="s">
        <v>769</v>
      </c>
      <c r="E330" s="16"/>
      <c r="F330" s="16"/>
      <c r="G330" s="36" t="s">
        <v>30</v>
      </c>
      <c r="H330" s="16" t="s">
        <v>30</v>
      </c>
      <c r="I330" s="16" t="str">
        <f>IF(G330="","",IFERROR(VLOOKUP(G330,Listas!$D$2:$E$23,2,FALSE),""))</f>
        <v>Brian Sarzosa</v>
      </c>
      <c r="J330" s="16" t="s">
        <v>770</v>
      </c>
      <c r="K330" s="16"/>
      <c r="L330" s="17"/>
      <c r="M330" s="17"/>
      <c r="N330" s="16" t="str">
        <f t="shared" ca="1" si="69"/>
        <v>ABIERTO</v>
      </c>
      <c r="O330" s="16"/>
      <c r="P330" s="84" t="str">
        <f>IFERROR(VLOOKUP(G330,Listas!$I$2:$J$23,2,FALSE),"")</f>
        <v>'Listas'!$N$2:$N$17</v>
      </c>
    </row>
    <row r="331" spans="1:16">
      <c r="A331" s="26">
        <v>329</v>
      </c>
      <c r="B331" s="17">
        <v>46234</v>
      </c>
      <c r="C331" s="20" t="s">
        <v>23</v>
      </c>
      <c r="D331" s="66" t="s">
        <v>771</v>
      </c>
      <c r="E331" s="66" t="s">
        <v>772</v>
      </c>
      <c r="F331" s="66" t="s">
        <v>756</v>
      </c>
      <c r="G331" s="36" t="s">
        <v>30</v>
      </c>
      <c r="H331" s="16" t="s">
        <v>30</v>
      </c>
      <c r="I331" s="16" t="str">
        <f>IF(G331="","",IFERROR(VLOOKUP(G331,Listas!$D$2:$E$23,2,FALSE),""))</f>
        <v>Brian Sarzosa</v>
      </c>
      <c r="J331" s="16" t="s">
        <v>773</v>
      </c>
      <c r="K331" s="16"/>
      <c r="L331" s="17"/>
      <c r="M331" s="17"/>
      <c r="N331" s="16" t="str">
        <f t="shared" ca="1" si="69"/>
        <v>ABIERTO</v>
      </c>
      <c r="O331" s="16"/>
      <c r="P331" s="84" t="str">
        <f>IFERROR(VLOOKUP(G331,Listas!$I$2:$J$23,2,FALSE),"")</f>
        <v>'Listas'!$N$2:$N$17</v>
      </c>
    </row>
    <row r="332" spans="1:16">
      <c r="A332" s="26">
        <v>330</v>
      </c>
      <c r="B332" s="17">
        <v>46234</v>
      </c>
      <c r="C332" s="20" t="s">
        <v>23</v>
      </c>
      <c r="D332" s="66" t="s">
        <v>774</v>
      </c>
      <c r="E332" s="66" t="s">
        <v>775</v>
      </c>
      <c r="F332" s="66" t="s">
        <v>729</v>
      </c>
      <c r="G332" s="36" t="s">
        <v>52</v>
      </c>
      <c r="H332" s="16" t="s">
        <v>30</v>
      </c>
      <c r="I332" s="16" t="str">
        <f>IF(G332="","",IFERROR(VLOOKUP(G332,Listas!$D$2:$E$23,2,FALSE),""))</f>
        <v>André Cobo</v>
      </c>
      <c r="J332" s="16" t="s">
        <v>776</v>
      </c>
      <c r="K332" s="16"/>
      <c r="L332" s="17"/>
      <c r="M332" s="17"/>
      <c r="N332" s="16" t="str">
        <f t="shared" ca="1" si="69"/>
        <v>ABIERTO</v>
      </c>
      <c r="O332" s="16"/>
      <c r="P332" s="84" t="str">
        <f>IFERROR(VLOOKUP(G332,Listas!$I$2:$J$23,2,FALSE),"")</f>
        <v>'Listas'!$K$7:$K$7</v>
      </c>
    </row>
    <row r="333" spans="1:16">
      <c r="A333" s="26">
        <v>331</v>
      </c>
      <c r="B333" s="17">
        <v>46234</v>
      </c>
      <c r="C333" s="20" t="s">
        <v>23</v>
      </c>
      <c r="D333" s="66" t="s">
        <v>777</v>
      </c>
      <c r="E333" s="66" t="s">
        <v>778</v>
      </c>
      <c r="F333" s="66" t="s">
        <v>729</v>
      </c>
      <c r="G333" s="36" t="s">
        <v>30</v>
      </c>
      <c r="H333" s="16" t="s">
        <v>30</v>
      </c>
      <c r="I333" s="16" t="str">
        <f>IF(G333="","",IFERROR(VLOOKUP(G333,Listas!$D$2:$E$23,2,FALSE),""))</f>
        <v>Brian Sarzosa</v>
      </c>
      <c r="J333" s="16" t="s">
        <v>779</v>
      </c>
      <c r="K333" s="16"/>
      <c r="L333" s="17"/>
      <c r="M333" s="17"/>
      <c r="N333" s="16" t="str">
        <f t="shared" ca="1" si="69"/>
        <v>ABIERTO</v>
      </c>
      <c r="O333" s="16"/>
      <c r="P333" s="84" t="str">
        <f>IFERROR(VLOOKUP(G333,Listas!$I$2:$J$23,2,FALSE),"")</f>
        <v>'Listas'!$N$2:$N$17</v>
      </c>
    </row>
    <row r="334" spans="1:16">
      <c r="A334" s="26">
        <v>332</v>
      </c>
      <c r="B334" s="17">
        <v>46234</v>
      </c>
      <c r="C334" s="20" t="s">
        <v>23</v>
      </c>
      <c r="D334" s="66" t="s">
        <v>780</v>
      </c>
      <c r="E334" s="66" t="s">
        <v>781</v>
      </c>
      <c r="F334" s="66" t="s">
        <v>722</v>
      </c>
      <c r="G334" s="36" t="s">
        <v>30</v>
      </c>
      <c r="H334" s="16" t="s">
        <v>30</v>
      </c>
      <c r="I334" s="16" t="str">
        <f>IF(G334="","",IFERROR(VLOOKUP(G334,Listas!$D$2:$E$23,2,FALSE),""))</f>
        <v>Brian Sarzosa</v>
      </c>
      <c r="J334" s="16" t="s">
        <v>782</v>
      </c>
      <c r="K334" s="16"/>
      <c r="L334" s="17"/>
      <c r="M334" s="17"/>
      <c r="N334" s="16" t="str">
        <f t="shared" ca="1" si="69"/>
        <v>ABIERTO</v>
      </c>
      <c r="O334" s="16"/>
      <c r="P334" s="84" t="str">
        <f>IFERROR(VLOOKUP(G334,Listas!$I$2:$J$23,2,FALSE),"")</f>
        <v>'Listas'!$N$2:$N$17</v>
      </c>
    </row>
    <row r="335" spans="1:16" ht="28.8">
      <c r="A335" s="26">
        <v>333</v>
      </c>
      <c r="B335" s="17">
        <v>46234</v>
      </c>
      <c r="C335" s="20" t="s">
        <v>23</v>
      </c>
      <c r="D335" s="66" t="s">
        <v>783</v>
      </c>
      <c r="E335" s="66" t="s">
        <v>784</v>
      </c>
      <c r="F335" s="66" t="s">
        <v>729</v>
      </c>
      <c r="G335" s="36" t="s">
        <v>52</v>
      </c>
      <c r="H335" s="16" t="s">
        <v>30</v>
      </c>
      <c r="I335" s="16" t="str">
        <f>IF(G335="","",IFERROR(VLOOKUP(G335,Listas!$D$2:$E$23,2,FALSE),""))</f>
        <v>André Cobo</v>
      </c>
      <c r="J335" s="16" t="s">
        <v>785</v>
      </c>
      <c r="K335" s="16"/>
      <c r="L335" s="17"/>
      <c r="M335" s="17"/>
      <c r="N335" s="16" t="str">
        <f t="shared" ca="1" si="69"/>
        <v>ABIERTO</v>
      </c>
      <c r="O335" s="16"/>
      <c r="P335" s="84" t="str">
        <f>IFERROR(VLOOKUP(G335,Listas!$I$2:$J$23,2,FALSE),"")</f>
        <v>'Listas'!$K$7:$K$7</v>
      </c>
    </row>
    <row r="336" spans="1:16">
      <c r="A336" s="26">
        <v>334</v>
      </c>
      <c r="B336" s="17">
        <v>46234</v>
      </c>
      <c r="C336" s="20" t="s">
        <v>23</v>
      </c>
      <c r="D336" s="66" t="s">
        <v>786</v>
      </c>
      <c r="E336" s="66" t="s">
        <v>787</v>
      </c>
      <c r="F336" s="66" t="s">
        <v>756</v>
      </c>
      <c r="G336" s="36" t="s">
        <v>763</v>
      </c>
      <c r="H336" s="16" t="s">
        <v>30</v>
      </c>
      <c r="I336" s="16" t="str">
        <f>IF(G336="","",IFERROR(VLOOKUP(G336,Listas!$D$2:$E$23,2,FALSE),""))</f>
        <v>Gabriel Garzón</v>
      </c>
      <c r="J336" s="36" t="s">
        <v>788</v>
      </c>
      <c r="K336" s="36"/>
      <c r="L336" s="36"/>
      <c r="M336" s="36"/>
      <c r="N336" s="16" t="str">
        <f t="shared" ca="1" si="69"/>
        <v>ABIERTO</v>
      </c>
      <c r="O336" s="36"/>
      <c r="P336" s="84" t="str">
        <f>IFERROR(VLOOKUP(G336,Listas!$I$2:$J$23,2,FALSE),"")</f>
        <v>'Listas'!$K$23:$K$23</v>
      </c>
    </row>
    <row r="337" spans="1:16">
      <c r="A337" s="26">
        <v>335</v>
      </c>
      <c r="B337" s="17">
        <v>46234</v>
      </c>
      <c r="C337" s="20" t="s">
        <v>23</v>
      </c>
      <c r="D337" s="66" t="s">
        <v>789</v>
      </c>
      <c r="E337" s="66" t="s">
        <v>790</v>
      </c>
      <c r="F337" s="66" t="s">
        <v>729</v>
      </c>
      <c r="G337" s="36" t="s">
        <v>52</v>
      </c>
      <c r="H337" s="16" t="s">
        <v>30</v>
      </c>
      <c r="I337" s="16" t="str">
        <f>IF(G337="","",IFERROR(VLOOKUP(G337,Listas!$D$2:$E$23,2,FALSE),""))</f>
        <v>André Cobo</v>
      </c>
      <c r="J337" s="36" t="s">
        <v>791</v>
      </c>
      <c r="K337" s="36"/>
      <c r="L337" s="36"/>
      <c r="M337" s="36"/>
      <c r="N337" s="16" t="str">
        <f t="shared" ca="1" si="69"/>
        <v>ABIERTO</v>
      </c>
      <c r="O337" s="36"/>
      <c r="P337" s="84" t="str">
        <f>IFERROR(VLOOKUP(G337,Listas!$I$2:$J$23,2,FALSE),"")</f>
        <v>'Listas'!$K$7:$K$7</v>
      </c>
    </row>
    <row r="338" spans="1:16">
      <c r="A338" s="26">
        <v>336</v>
      </c>
      <c r="B338" s="17">
        <v>46234</v>
      </c>
      <c r="C338" s="20" t="s">
        <v>23</v>
      </c>
      <c r="D338" s="66" t="s">
        <v>792</v>
      </c>
      <c r="E338" s="66" t="s">
        <v>793</v>
      </c>
      <c r="F338" s="66" t="s">
        <v>729</v>
      </c>
      <c r="G338" s="36" t="s">
        <v>30</v>
      </c>
      <c r="H338" s="16" t="s">
        <v>30</v>
      </c>
      <c r="I338" s="16" t="str">
        <f>IF(G338="","",IFERROR(VLOOKUP(G338,Listas!$D$2:$E$23,2,FALSE),""))</f>
        <v>Brian Sarzosa</v>
      </c>
      <c r="J338" s="36" t="s">
        <v>794</v>
      </c>
      <c r="K338" s="36"/>
      <c r="L338" s="36"/>
      <c r="M338" s="36"/>
      <c r="N338" s="16" t="str">
        <f t="shared" ca="1" si="69"/>
        <v>ABIERTO</v>
      </c>
      <c r="O338" s="36"/>
      <c r="P338" s="84" t="str">
        <f>IFERROR(VLOOKUP(G338,Listas!$I$2:$J$23,2,FALSE),"")</f>
        <v>'Listas'!$N$2:$N$17</v>
      </c>
    </row>
    <row r="339" spans="1:16">
      <c r="A339" s="26">
        <v>337</v>
      </c>
      <c r="B339" s="17">
        <v>46234</v>
      </c>
      <c r="C339" s="20" t="s">
        <v>23</v>
      </c>
      <c r="D339" s="66" t="s">
        <v>795</v>
      </c>
      <c r="E339" s="66" t="s">
        <v>796</v>
      </c>
      <c r="F339" s="66" t="s">
        <v>756</v>
      </c>
      <c r="G339" s="36" t="s">
        <v>30</v>
      </c>
      <c r="H339" s="16" t="s">
        <v>30</v>
      </c>
      <c r="I339" s="16" t="str">
        <f>IF(G339="","",IFERROR(VLOOKUP(G339,Listas!$D$2:$E$23,2,FALSE),""))</f>
        <v>Brian Sarzosa</v>
      </c>
      <c r="J339" s="36" t="s">
        <v>797</v>
      </c>
      <c r="K339" s="36"/>
      <c r="L339" s="36"/>
      <c r="M339" s="36"/>
      <c r="N339" s="16" t="str">
        <f t="shared" ca="1" si="69"/>
        <v>ABIERTO</v>
      </c>
      <c r="O339" s="36"/>
      <c r="P339" s="84" t="str">
        <f>IFERROR(VLOOKUP(G339,Listas!$I$2:$J$23,2,FALSE),"")</f>
        <v>'Listas'!$N$2:$N$17</v>
      </c>
    </row>
    <row r="340" spans="1:16" s="69" customFormat="1">
      <c r="A340" s="26">
        <v>338</v>
      </c>
      <c r="B340" s="67">
        <v>46205</v>
      </c>
      <c r="C340" s="20" t="s">
        <v>16</v>
      </c>
      <c r="D340" s="46" t="s">
        <v>798</v>
      </c>
      <c r="E340" s="46" t="s">
        <v>799</v>
      </c>
      <c r="F340" s="46"/>
      <c r="G340" s="46" t="s">
        <v>30</v>
      </c>
      <c r="H340" s="68" t="s">
        <v>800</v>
      </c>
      <c r="I340" s="68" t="str">
        <f>IF(G340="","",IFERROR(VLOOKUP(G340,Listas!$D$2:$E$23,2,FALSE),""))</f>
        <v>Brian Sarzosa</v>
      </c>
      <c r="J340" s="46" t="s">
        <v>801</v>
      </c>
      <c r="K340" s="36"/>
      <c r="L340" s="67">
        <v>46226</v>
      </c>
      <c r="M340" s="67">
        <v>46226</v>
      </c>
      <c r="N340" s="68" t="str">
        <f ca="1">IF(M340&lt;&gt;"","CERRADO",IF(L340&gt;TODAY(),"EN PROCESO",IF(M340="","ABIERTO")))</f>
        <v>CERRADO</v>
      </c>
      <c r="O340" s="46"/>
      <c r="P340" s="84" t="str">
        <f>IFERROR(VLOOKUP(G340,Listas!$I$2:$J$23,2,FALSE),"")</f>
        <v>'Listas'!$N$2:$N$17</v>
      </c>
    </row>
    <row r="341" spans="1:16">
      <c r="A341" s="1">
        <f t="shared" ref="A341:A389" si="70">A340+1</f>
        <v>339</v>
      </c>
      <c r="B341" s="32"/>
      <c r="C341" s="15"/>
      <c r="D341" s="1"/>
      <c r="E341" s="1"/>
      <c r="F341" s="1"/>
      <c r="G341" s="1"/>
      <c r="H341" s="15"/>
      <c r="I341" s="15"/>
      <c r="J341" s="1"/>
      <c r="K341" s="1"/>
      <c r="L341" s="1"/>
      <c r="M341" s="1"/>
      <c r="N341" s="45" t="str">
        <f t="shared" ref="N341:N389" ca="1" si="71">IF(M341&lt;&gt;"","CERRADO",IF(L341&gt;TODAY(),"EN PROCESO",IF(M341="","ABIERTO")))</f>
        <v>ABIERTO</v>
      </c>
      <c r="O341" s="1"/>
      <c r="P341" s="84" t="str">
        <f>IFERROR(VLOOKUP(G341,Listas!$I$2:$J$23,2,FALSE),"")</f>
        <v/>
      </c>
    </row>
    <row r="342" spans="1:16">
      <c r="A342" s="1">
        <f t="shared" si="70"/>
        <v>340</v>
      </c>
      <c r="B342" s="32"/>
      <c r="C342" s="15"/>
      <c r="D342" s="1"/>
      <c r="E342" s="1"/>
      <c r="F342" s="1"/>
      <c r="G342" s="1"/>
      <c r="H342" s="15"/>
      <c r="I342" s="15" t="str">
        <f>IF(G342="","",IFERROR(VLOOKUP(G342,Listas!$D$2:$E$23,2,FALSE),""))</f>
        <v/>
      </c>
      <c r="J342" s="1"/>
      <c r="K342" s="1"/>
      <c r="L342" s="1"/>
      <c r="M342" s="1"/>
      <c r="N342" s="45" t="str">
        <f t="shared" ca="1" si="71"/>
        <v>ABIERTO</v>
      </c>
      <c r="O342" s="1"/>
      <c r="P342" s="84" t="str">
        <f>IFERROR(VLOOKUP(G342,Listas!$I$2:$J$23,2,FALSE),"")</f>
        <v/>
      </c>
    </row>
    <row r="343" spans="1:16">
      <c r="A343" s="1">
        <f t="shared" si="70"/>
        <v>341</v>
      </c>
      <c r="B343" s="32"/>
      <c r="C343" s="15"/>
      <c r="D343" s="1"/>
      <c r="E343" s="1"/>
      <c r="F343" s="1"/>
      <c r="G343" s="2"/>
      <c r="H343" s="15"/>
      <c r="I343" s="15" t="str">
        <f>IF(G343="","",IFERROR(VLOOKUP(G343,Listas!$D$2:$E$23,2,FALSE),""))</f>
        <v/>
      </c>
      <c r="J343" s="1"/>
      <c r="K343" s="1"/>
      <c r="L343" s="1"/>
      <c r="M343" s="1"/>
      <c r="N343" s="45" t="str">
        <f t="shared" ca="1" si="71"/>
        <v>ABIERTO</v>
      </c>
      <c r="O343" s="1"/>
      <c r="P343" s="84" t="str">
        <f>IFERROR(VLOOKUP(G343,Listas!$I$2:$J$23,2,FALSE),"")</f>
        <v/>
      </c>
    </row>
    <row r="344" spans="1:16">
      <c r="A344" s="1">
        <f>A343+1</f>
        <v>342</v>
      </c>
      <c r="B344" s="32"/>
      <c r="C344" s="15"/>
      <c r="D344" s="1"/>
      <c r="E344" s="1"/>
      <c r="F344" s="70"/>
      <c r="G344" s="1"/>
      <c r="H344" s="35"/>
      <c r="I344" s="15" t="str">
        <f>IF(G344="","",IFERROR(VLOOKUP(G344,Listas!$D$2:$E$23,2,FALSE),""))</f>
        <v/>
      </c>
      <c r="J344" s="1"/>
      <c r="K344" s="1"/>
      <c r="L344" s="1"/>
      <c r="M344" s="1"/>
      <c r="N344" s="45" t="str">
        <f t="shared" ca="1" si="71"/>
        <v>ABIERTO</v>
      </c>
      <c r="O344" s="1"/>
      <c r="P344" s="84" t="str">
        <f>IFERROR(VLOOKUP(G344,Listas!$I$2:$J$23,2,FALSE),"")</f>
        <v/>
      </c>
    </row>
    <row r="345" spans="1:16">
      <c r="A345" s="1">
        <f t="shared" si="70"/>
        <v>343</v>
      </c>
      <c r="B345" s="32"/>
      <c r="C345" s="15"/>
      <c r="D345" s="1"/>
      <c r="E345" s="1"/>
      <c r="F345" s="70"/>
      <c r="G345" s="1"/>
      <c r="H345" s="35"/>
      <c r="I345" s="15" t="str">
        <f>IF(G345="","",IFERROR(VLOOKUP(G345,Listas!$D$2:$E$23,2,FALSE),""))</f>
        <v/>
      </c>
      <c r="J345" s="1"/>
      <c r="K345" s="1"/>
      <c r="L345" s="1"/>
      <c r="M345" s="1"/>
      <c r="N345" s="45" t="str">
        <f t="shared" ca="1" si="71"/>
        <v>ABIERTO</v>
      </c>
      <c r="O345" s="1"/>
      <c r="P345" s="84" t="str">
        <f>IFERROR(VLOOKUP(G345,Listas!$I$2:$J$23,2,FALSE),"")</f>
        <v/>
      </c>
    </row>
    <row r="346" spans="1:16">
      <c r="A346" s="1">
        <f t="shared" si="70"/>
        <v>344</v>
      </c>
      <c r="B346" s="32"/>
      <c r="C346" s="15"/>
      <c r="D346" s="1"/>
      <c r="E346" s="1"/>
      <c r="F346" s="1"/>
      <c r="G346" s="71"/>
      <c r="H346" s="15"/>
      <c r="I346" s="15" t="str">
        <f>IF(G346="","",IFERROR(VLOOKUP(G346,Listas!$D$2:$E$23,2,FALSE),""))</f>
        <v/>
      </c>
      <c r="J346" s="1"/>
      <c r="K346" s="1"/>
      <c r="L346" s="1"/>
      <c r="M346" s="1"/>
      <c r="N346" s="45" t="str">
        <f t="shared" ca="1" si="71"/>
        <v>ABIERTO</v>
      </c>
      <c r="O346" s="1"/>
      <c r="P346" s="84" t="str">
        <f>IFERROR(VLOOKUP(G346,Listas!$I$2:$J$23,2,FALSE),"")</f>
        <v/>
      </c>
    </row>
    <row r="347" spans="1:16">
      <c r="A347" s="1">
        <f t="shared" si="70"/>
        <v>345</v>
      </c>
      <c r="B347" s="32"/>
      <c r="C347" s="15"/>
      <c r="D347" s="1"/>
      <c r="E347" s="1"/>
      <c r="F347" s="1"/>
      <c r="G347" s="1"/>
      <c r="H347" s="15"/>
      <c r="I347" s="15" t="str">
        <f>IF(G347="","",IFERROR(VLOOKUP(G347,Listas!$D$2:$E$23,2,FALSE),""))</f>
        <v/>
      </c>
      <c r="J347" s="1"/>
      <c r="K347" s="1"/>
      <c r="L347" s="1"/>
      <c r="M347" s="1"/>
      <c r="N347" s="45" t="str">
        <f t="shared" ca="1" si="71"/>
        <v>ABIERTO</v>
      </c>
      <c r="O347" s="1"/>
      <c r="P347" s="84" t="str">
        <f>IFERROR(VLOOKUP(G347,Listas!$I$2:$J$23,2,FALSE),"")</f>
        <v/>
      </c>
    </row>
    <row r="348" spans="1:16">
      <c r="A348" s="1">
        <f t="shared" si="70"/>
        <v>346</v>
      </c>
      <c r="B348" s="32"/>
      <c r="C348" s="15"/>
      <c r="D348" s="1"/>
      <c r="E348" s="1"/>
      <c r="F348" s="1"/>
      <c r="G348" s="1"/>
      <c r="H348" s="15"/>
      <c r="I348" s="15" t="str">
        <f>IF(G348="","",IFERROR(VLOOKUP(G348,Listas!$D$2:$E$23,2,FALSE),""))</f>
        <v/>
      </c>
      <c r="J348" s="1"/>
      <c r="K348" s="1"/>
      <c r="L348" s="1"/>
      <c r="M348" s="1"/>
      <c r="N348" s="45" t="str">
        <f t="shared" ca="1" si="71"/>
        <v>ABIERTO</v>
      </c>
      <c r="O348" s="1"/>
      <c r="P348" s="84" t="str">
        <f>IFERROR(VLOOKUP(G348,Listas!$I$2:$J$23,2,FALSE),"")</f>
        <v/>
      </c>
    </row>
    <row r="349" spans="1:16">
      <c r="A349" s="1">
        <f t="shared" si="70"/>
        <v>347</v>
      </c>
      <c r="B349" s="32"/>
      <c r="C349" s="15"/>
      <c r="D349" s="1"/>
      <c r="E349" s="1"/>
      <c r="F349" s="1"/>
      <c r="G349" s="1"/>
      <c r="H349" s="15"/>
      <c r="I349" s="15" t="str">
        <f>IF(G349="","",IFERROR(VLOOKUP(G349,Listas!$D$2:$E$23,2,FALSE),""))</f>
        <v/>
      </c>
      <c r="J349" s="1"/>
      <c r="K349" s="1"/>
      <c r="L349" s="1"/>
      <c r="M349" s="1"/>
      <c r="N349" s="45" t="str">
        <f t="shared" ca="1" si="71"/>
        <v>ABIERTO</v>
      </c>
      <c r="O349" s="1"/>
      <c r="P349" s="84" t="str">
        <f>IFERROR(VLOOKUP(G349,Listas!$I$2:$J$23,2,FALSE),"")</f>
        <v/>
      </c>
    </row>
    <row r="350" spans="1:16">
      <c r="A350" s="1">
        <f t="shared" si="70"/>
        <v>348</v>
      </c>
      <c r="B350" s="32"/>
      <c r="C350" s="15"/>
      <c r="D350" s="1"/>
      <c r="E350" s="1"/>
      <c r="F350" s="1"/>
      <c r="G350" s="1"/>
      <c r="H350" s="15"/>
      <c r="I350" s="15" t="str">
        <f>IF(G350="","",IFERROR(VLOOKUP(G350,Listas!$D$2:$E$23,2,FALSE),""))</f>
        <v/>
      </c>
      <c r="J350" s="1"/>
      <c r="K350" s="1"/>
      <c r="L350" s="1"/>
      <c r="M350" s="1"/>
      <c r="N350" s="45" t="str">
        <f t="shared" ca="1" si="71"/>
        <v>ABIERTO</v>
      </c>
      <c r="O350" s="1"/>
      <c r="P350" s="84" t="str">
        <f>IFERROR(VLOOKUP(G350,Listas!$I$2:$J$23,2,FALSE),"")</f>
        <v/>
      </c>
    </row>
    <row r="351" spans="1:16">
      <c r="A351" s="1">
        <f t="shared" si="70"/>
        <v>349</v>
      </c>
      <c r="B351" s="32"/>
      <c r="C351" s="15"/>
      <c r="D351" s="1"/>
      <c r="E351" s="1"/>
      <c r="F351" s="1"/>
      <c r="G351" s="1"/>
      <c r="H351" s="15"/>
      <c r="I351" s="15" t="str">
        <f>IF(G351="","",IFERROR(VLOOKUP(G351,Listas!$D$2:$E$23,2,FALSE),""))</f>
        <v/>
      </c>
      <c r="J351" s="1"/>
      <c r="K351" s="1"/>
      <c r="L351" s="1"/>
      <c r="M351" s="1"/>
      <c r="N351" s="45" t="str">
        <f t="shared" ca="1" si="71"/>
        <v>ABIERTO</v>
      </c>
      <c r="O351" s="1"/>
      <c r="P351" s="84" t="str">
        <f>IFERROR(VLOOKUP(G351,Listas!$I$2:$J$23,2,FALSE),"")</f>
        <v/>
      </c>
    </row>
    <row r="352" spans="1:16">
      <c r="A352" s="1">
        <f t="shared" si="70"/>
        <v>350</v>
      </c>
      <c r="B352" s="32"/>
      <c r="C352" s="15"/>
      <c r="D352" s="1"/>
      <c r="E352" s="1"/>
      <c r="F352" s="1"/>
      <c r="G352" s="1"/>
      <c r="H352" s="15"/>
      <c r="I352" s="15" t="str">
        <f>IF(G352="","",IFERROR(VLOOKUP(G352,Listas!$D$2:$E$23,2,FALSE),""))</f>
        <v/>
      </c>
      <c r="J352" s="1"/>
      <c r="K352" s="1"/>
      <c r="L352" s="1"/>
      <c r="M352" s="1"/>
      <c r="N352" s="45" t="str">
        <f t="shared" ca="1" si="71"/>
        <v>ABIERTO</v>
      </c>
      <c r="O352" s="1"/>
      <c r="P352" s="84" t="str">
        <f>IFERROR(VLOOKUP(G352,Listas!$I$2:$J$23,2,FALSE),"")</f>
        <v/>
      </c>
    </row>
    <row r="353" spans="1:16">
      <c r="A353" s="1">
        <f t="shared" si="70"/>
        <v>351</v>
      </c>
      <c r="B353" s="32"/>
      <c r="C353" s="15"/>
      <c r="D353" s="1"/>
      <c r="E353" s="1"/>
      <c r="F353" s="1"/>
      <c r="G353" s="1"/>
      <c r="H353" s="15"/>
      <c r="I353" s="15" t="str">
        <f>IF(G353="","",IFERROR(VLOOKUP(G353,Listas!$D$2:$E$23,2,FALSE),""))</f>
        <v/>
      </c>
      <c r="J353" s="1"/>
      <c r="K353" s="1"/>
      <c r="L353" s="1"/>
      <c r="M353" s="1"/>
      <c r="N353" s="45" t="str">
        <f t="shared" ca="1" si="71"/>
        <v>ABIERTO</v>
      </c>
      <c r="O353" s="1"/>
      <c r="P353" s="84" t="str">
        <f>IFERROR(VLOOKUP(G353,Listas!$I$2:$J$23,2,FALSE),"")</f>
        <v/>
      </c>
    </row>
    <row r="354" spans="1:16">
      <c r="A354" s="1">
        <f t="shared" si="70"/>
        <v>352</v>
      </c>
      <c r="B354" s="32"/>
      <c r="C354" s="15"/>
      <c r="D354" s="1"/>
      <c r="E354" s="1"/>
      <c r="F354" s="1"/>
      <c r="G354" s="1"/>
      <c r="H354" s="15"/>
      <c r="I354" s="15" t="str">
        <f>IF(G354="","",IFERROR(VLOOKUP(G354,Listas!$D$2:$E$23,2,FALSE),""))</f>
        <v/>
      </c>
      <c r="J354" s="1"/>
      <c r="K354" s="1"/>
      <c r="L354" s="1"/>
      <c r="M354" s="1"/>
      <c r="N354" s="45" t="str">
        <f t="shared" ca="1" si="71"/>
        <v>ABIERTO</v>
      </c>
      <c r="O354" s="1"/>
      <c r="P354" s="84" t="str">
        <f>IFERROR(VLOOKUP(G354,Listas!$I$2:$J$23,2,FALSE),"")</f>
        <v/>
      </c>
    </row>
    <row r="355" spans="1:16">
      <c r="A355" s="1">
        <f t="shared" si="70"/>
        <v>353</v>
      </c>
      <c r="B355" s="32"/>
      <c r="C355" s="15"/>
      <c r="D355" s="1"/>
      <c r="E355" s="1"/>
      <c r="F355" s="1"/>
      <c r="G355" s="1"/>
      <c r="H355" s="15"/>
      <c r="I355" s="15" t="str">
        <f>IF(G355="","",IFERROR(VLOOKUP(G355,Listas!$D$2:$E$23,2,FALSE),""))</f>
        <v/>
      </c>
      <c r="J355" s="1"/>
      <c r="K355" s="1"/>
      <c r="L355" s="1"/>
      <c r="M355" s="1"/>
      <c r="N355" s="45" t="str">
        <f t="shared" ca="1" si="71"/>
        <v>ABIERTO</v>
      </c>
      <c r="O355" s="1"/>
      <c r="P355" s="84" t="str">
        <f>IFERROR(VLOOKUP(G355,Listas!$I$2:$J$23,2,FALSE),"")</f>
        <v/>
      </c>
    </row>
    <row r="356" spans="1:16">
      <c r="A356" s="1">
        <f t="shared" si="70"/>
        <v>354</v>
      </c>
      <c r="B356" s="32"/>
      <c r="C356" s="15"/>
      <c r="D356" s="1"/>
      <c r="E356" s="1"/>
      <c r="F356" s="1"/>
      <c r="G356" s="1"/>
      <c r="H356" s="15"/>
      <c r="I356" s="15" t="str">
        <f>IF(G356="","",IFERROR(VLOOKUP(G356,Listas!$D$2:$E$23,2,FALSE),""))</f>
        <v/>
      </c>
      <c r="J356" s="1"/>
      <c r="K356" s="1"/>
      <c r="L356" s="1"/>
      <c r="M356" s="1"/>
      <c r="N356" s="45" t="str">
        <f t="shared" ca="1" si="71"/>
        <v>ABIERTO</v>
      </c>
      <c r="O356" s="1"/>
      <c r="P356" s="84" t="str">
        <f>IFERROR(VLOOKUP(G356,Listas!$I$2:$J$23,2,FALSE),"")</f>
        <v/>
      </c>
    </row>
    <row r="357" spans="1:16">
      <c r="A357" s="1">
        <f t="shared" si="70"/>
        <v>355</v>
      </c>
      <c r="B357" s="32"/>
      <c r="C357" s="15"/>
      <c r="D357" s="1"/>
      <c r="E357" s="1"/>
      <c r="F357" s="1"/>
      <c r="G357" s="1"/>
      <c r="H357" s="15"/>
      <c r="I357" s="15" t="str">
        <f>IF(G357="","",IFERROR(VLOOKUP(G357,Listas!$D$2:$E$23,2,FALSE),""))</f>
        <v/>
      </c>
      <c r="J357" s="1"/>
      <c r="K357" s="1"/>
      <c r="L357" s="1"/>
      <c r="M357" s="1"/>
      <c r="N357" s="45" t="str">
        <f t="shared" ca="1" si="71"/>
        <v>ABIERTO</v>
      </c>
      <c r="O357" s="1"/>
      <c r="P357" s="84" t="str">
        <f>IFERROR(VLOOKUP(G357,Listas!$I$2:$J$23,2,FALSE),"")</f>
        <v/>
      </c>
    </row>
    <row r="358" spans="1:16">
      <c r="A358" s="1">
        <f t="shared" si="70"/>
        <v>356</v>
      </c>
      <c r="B358" s="32"/>
      <c r="C358" s="15"/>
      <c r="D358" s="1"/>
      <c r="E358" s="1"/>
      <c r="F358" s="1"/>
      <c r="G358" s="1"/>
      <c r="H358" s="15"/>
      <c r="I358" s="15" t="str">
        <f>IF(G358="","",IFERROR(VLOOKUP(G358,Listas!$D$2:$E$23,2,FALSE),""))</f>
        <v/>
      </c>
      <c r="J358" s="1"/>
      <c r="K358" s="1"/>
      <c r="L358" s="1"/>
      <c r="M358" s="1"/>
      <c r="N358" s="45" t="str">
        <f t="shared" ca="1" si="71"/>
        <v>ABIERTO</v>
      </c>
      <c r="O358" s="1"/>
      <c r="P358" s="84" t="str">
        <f>IFERROR(VLOOKUP(G358,Listas!$I$2:$J$23,2,FALSE),"")</f>
        <v/>
      </c>
    </row>
    <row r="359" spans="1:16">
      <c r="A359" s="1">
        <f t="shared" si="70"/>
        <v>357</v>
      </c>
      <c r="B359" s="32"/>
      <c r="C359" s="15"/>
      <c r="D359" s="1"/>
      <c r="E359" s="1"/>
      <c r="F359" s="1"/>
      <c r="G359" s="1"/>
      <c r="H359" s="15"/>
      <c r="I359" s="15" t="str">
        <f>IF(G359="","",IFERROR(VLOOKUP(G359,Listas!$D$2:$E$23,2,FALSE),""))</f>
        <v/>
      </c>
      <c r="J359" s="1"/>
      <c r="K359" s="1"/>
      <c r="L359" s="1"/>
      <c r="M359" s="1"/>
      <c r="N359" s="45" t="str">
        <f t="shared" ca="1" si="71"/>
        <v>ABIERTO</v>
      </c>
      <c r="O359" s="1"/>
      <c r="P359" s="84" t="str">
        <f>IFERROR(VLOOKUP(G359,Listas!$I$2:$J$23,2,FALSE),"")</f>
        <v/>
      </c>
    </row>
    <row r="360" spans="1:16">
      <c r="A360" s="1">
        <f t="shared" si="70"/>
        <v>358</v>
      </c>
      <c r="B360" s="32"/>
      <c r="C360" s="15"/>
      <c r="D360" s="1"/>
      <c r="E360" s="1"/>
      <c r="F360" s="1"/>
      <c r="G360" s="1"/>
      <c r="H360" s="15"/>
      <c r="I360" s="15" t="str">
        <f>IF(G360="","",IFERROR(VLOOKUP(G360,Listas!$D$2:$E$23,2,FALSE),""))</f>
        <v/>
      </c>
      <c r="J360" s="1"/>
      <c r="K360" s="1"/>
      <c r="L360" s="1"/>
      <c r="M360" s="1"/>
      <c r="N360" s="45" t="str">
        <f t="shared" ca="1" si="71"/>
        <v>ABIERTO</v>
      </c>
      <c r="O360" s="1"/>
      <c r="P360" s="84" t="str">
        <f>IFERROR(VLOOKUP(G360,Listas!$I$2:$J$23,2,FALSE),"")</f>
        <v/>
      </c>
    </row>
    <row r="361" spans="1:16">
      <c r="A361" s="1">
        <f t="shared" si="70"/>
        <v>359</v>
      </c>
      <c r="B361" s="32"/>
      <c r="C361" s="15"/>
      <c r="D361" s="1"/>
      <c r="E361" s="1"/>
      <c r="F361" s="1"/>
      <c r="G361" s="1"/>
      <c r="H361" s="15"/>
      <c r="I361" s="15" t="str">
        <f>IF(G361="","",IFERROR(VLOOKUP(G361,Listas!$D$2:$E$23,2,FALSE),""))</f>
        <v/>
      </c>
      <c r="J361" s="1"/>
      <c r="K361" s="1"/>
      <c r="L361" s="1"/>
      <c r="M361" s="1"/>
      <c r="N361" s="45" t="str">
        <f t="shared" ca="1" si="71"/>
        <v>ABIERTO</v>
      </c>
      <c r="O361" s="1"/>
      <c r="P361" s="84" t="str">
        <f>IFERROR(VLOOKUP(G361,Listas!$I$2:$J$23,2,FALSE),"")</f>
        <v/>
      </c>
    </row>
    <row r="362" spans="1:16">
      <c r="A362" s="1">
        <f t="shared" si="70"/>
        <v>360</v>
      </c>
      <c r="B362" s="32"/>
      <c r="C362" s="15"/>
      <c r="D362" s="1"/>
      <c r="E362" s="1"/>
      <c r="F362" s="1"/>
      <c r="G362" s="1"/>
      <c r="H362" s="15"/>
      <c r="I362" s="15" t="str">
        <f>IF(G362="","",IFERROR(VLOOKUP(G362,Listas!$D$2:$E$23,2,FALSE),""))</f>
        <v/>
      </c>
      <c r="J362" s="1"/>
      <c r="K362" s="1"/>
      <c r="L362" s="1"/>
      <c r="M362" s="1"/>
      <c r="N362" s="45" t="str">
        <f t="shared" ca="1" si="71"/>
        <v>ABIERTO</v>
      </c>
      <c r="O362" s="1"/>
      <c r="P362" s="84" t="str">
        <f>IFERROR(VLOOKUP(G362,Listas!$I$2:$J$23,2,FALSE),"")</f>
        <v/>
      </c>
    </row>
    <row r="363" spans="1:16">
      <c r="A363" s="1">
        <f t="shared" si="70"/>
        <v>361</v>
      </c>
      <c r="B363" s="32"/>
      <c r="C363" s="15"/>
      <c r="D363" s="1"/>
      <c r="E363" s="1"/>
      <c r="F363" s="1"/>
      <c r="G363" s="1"/>
      <c r="H363" s="15"/>
      <c r="I363" s="15" t="str">
        <f>IF(G363="","",IFERROR(VLOOKUP(G363,Listas!$D$2:$E$23,2,FALSE),""))</f>
        <v/>
      </c>
      <c r="J363" s="1"/>
      <c r="K363" s="1"/>
      <c r="L363" s="1"/>
      <c r="M363" s="1"/>
      <c r="N363" s="45" t="str">
        <f t="shared" ca="1" si="71"/>
        <v>ABIERTO</v>
      </c>
      <c r="O363" s="1"/>
      <c r="P363" s="84" t="str">
        <f>IFERROR(VLOOKUP(G363,Listas!$I$2:$J$23,2,FALSE),"")</f>
        <v/>
      </c>
    </row>
    <row r="364" spans="1:16">
      <c r="A364" s="1">
        <f t="shared" si="70"/>
        <v>362</v>
      </c>
      <c r="B364" s="32"/>
      <c r="C364" s="15"/>
      <c r="D364" s="1"/>
      <c r="E364" s="1"/>
      <c r="F364" s="1"/>
      <c r="G364" s="1"/>
      <c r="H364" s="15"/>
      <c r="I364" s="15" t="str">
        <f>IF(G364="","",IFERROR(VLOOKUP(G364,Listas!$D$2:$E$23,2,FALSE),""))</f>
        <v/>
      </c>
      <c r="J364" s="1"/>
      <c r="K364" s="1"/>
      <c r="L364" s="1"/>
      <c r="M364" s="1"/>
      <c r="N364" s="45" t="str">
        <f t="shared" ca="1" si="71"/>
        <v>ABIERTO</v>
      </c>
      <c r="O364" s="1"/>
      <c r="P364" s="84" t="str">
        <f>IFERROR(VLOOKUP(G364,Listas!$I$2:$J$23,2,FALSE),"")</f>
        <v/>
      </c>
    </row>
    <row r="365" spans="1:16">
      <c r="A365" s="1">
        <f t="shared" si="70"/>
        <v>363</v>
      </c>
      <c r="B365" s="32"/>
      <c r="C365" s="15"/>
      <c r="D365" s="1"/>
      <c r="E365" s="1"/>
      <c r="F365" s="1"/>
      <c r="G365" s="1"/>
      <c r="H365" s="15"/>
      <c r="I365" s="15" t="str">
        <f>IF(G365="","",IFERROR(VLOOKUP(G365,Listas!$D$2:$E$23,2,FALSE),""))</f>
        <v/>
      </c>
      <c r="J365" s="1"/>
      <c r="K365" s="1"/>
      <c r="L365" s="1"/>
      <c r="M365" s="1"/>
      <c r="N365" s="45" t="str">
        <f t="shared" ca="1" si="71"/>
        <v>ABIERTO</v>
      </c>
      <c r="O365" s="1"/>
      <c r="P365" s="84" t="str">
        <f>IFERROR(VLOOKUP(G365,Listas!$I$2:$J$23,2,FALSE),"")</f>
        <v/>
      </c>
    </row>
    <row r="366" spans="1:16">
      <c r="A366" s="1">
        <f t="shared" si="70"/>
        <v>364</v>
      </c>
      <c r="B366" s="32"/>
      <c r="C366" s="15"/>
      <c r="D366" s="1"/>
      <c r="E366" s="1"/>
      <c r="F366" s="1"/>
      <c r="G366" s="1"/>
      <c r="H366" s="15"/>
      <c r="I366" s="15" t="str">
        <f>IF(G366="","",IFERROR(VLOOKUP(G366,Listas!$D$2:$E$23,2,FALSE),""))</f>
        <v/>
      </c>
      <c r="J366" s="1"/>
      <c r="K366" s="1"/>
      <c r="L366" s="1"/>
      <c r="M366" s="1"/>
      <c r="N366" s="45" t="str">
        <f t="shared" ca="1" si="71"/>
        <v>ABIERTO</v>
      </c>
      <c r="O366" s="1"/>
      <c r="P366" s="84" t="str">
        <f>IFERROR(VLOOKUP(G366,Listas!$I$2:$J$23,2,FALSE),"")</f>
        <v/>
      </c>
    </row>
    <row r="367" spans="1:16">
      <c r="A367" s="1">
        <f t="shared" si="70"/>
        <v>365</v>
      </c>
      <c r="B367" s="32"/>
      <c r="C367" s="15"/>
      <c r="D367" s="1"/>
      <c r="E367" s="1"/>
      <c r="F367" s="1"/>
      <c r="G367" s="1"/>
      <c r="H367" s="15"/>
      <c r="I367" s="15" t="str">
        <f>IF(G367="","",IFERROR(VLOOKUP(G367,Listas!$D$2:$E$23,2,FALSE),""))</f>
        <v/>
      </c>
      <c r="J367" s="1"/>
      <c r="K367" s="1"/>
      <c r="L367" s="1"/>
      <c r="M367" s="1"/>
      <c r="N367" s="45" t="str">
        <f t="shared" ca="1" si="71"/>
        <v>ABIERTO</v>
      </c>
      <c r="O367" s="1"/>
      <c r="P367" s="84" t="str">
        <f>IFERROR(VLOOKUP(G367,Listas!$I$2:$J$23,2,FALSE),"")</f>
        <v/>
      </c>
    </row>
    <row r="368" spans="1:16">
      <c r="A368" s="1">
        <f t="shared" si="70"/>
        <v>366</v>
      </c>
      <c r="B368" s="32"/>
      <c r="C368" s="15"/>
      <c r="D368" s="1"/>
      <c r="E368" s="1"/>
      <c r="F368" s="1"/>
      <c r="G368" s="1"/>
      <c r="H368" s="15"/>
      <c r="I368" s="15" t="str">
        <f>IF(G368="","",IFERROR(VLOOKUP(G368,Listas!$D$2:$E$23,2,FALSE),""))</f>
        <v/>
      </c>
      <c r="J368" s="1"/>
      <c r="K368" s="1"/>
      <c r="L368" s="1"/>
      <c r="M368" s="1"/>
      <c r="N368" s="45" t="str">
        <f t="shared" ca="1" si="71"/>
        <v>ABIERTO</v>
      </c>
      <c r="O368" s="1"/>
      <c r="P368" s="84" t="str">
        <f>IFERROR(VLOOKUP(G368,Listas!$I$2:$J$23,2,FALSE),"")</f>
        <v/>
      </c>
    </row>
    <row r="369" spans="1:16">
      <c r="A369" s="1">
        <f t="shared" si="70"/>
        <v>367</v>
      </c>
      <c r="B369" s="32"/>
      <c r="C369" s="15"/>
      <c r="D369" s="1"/>
      <c r="E369" s="1"/>
      <c r="F369" s="1"/>
      <c r="G369" s="1"/>
      <c r="H369" s="15"/>
      <c r="I369" s="15" t="str">
        <f>IF(G369="","",IFERROR(VLOOKUP(G369,Listas!$D$2:$E$23,2,FALSE),""))</f>
        <v/>
      </c>
      <c r="J369" s="1"/>
      <c r="K369" s="1"/>
      <c r="L369" s="1"/>
      <c r="M369" s="1"/>
      <c r="N369" s="45" t="str">
        <f t="shared" ca="1" si="71"/>
        <v>ABIERTO</v>
      </c>
      <c r="O369" s="1"/>
      <c r="P369" s="84" t="str">
        <f>IFERROR(VLOOKUP(G369,Listas!$I$2:$J$23,2,FALSE),"")</f>
        <v/>
      </c>
    </row>
    <row r="370" spans="1:16">
      <c r="A370" s="1">
        <f t="shared" si="70"/>
        <v>368</v>
      </c>
      <c r="B370" s="32"/>
      <c r="C370" s="15"/>
      <c r="D370" s="1"/>
      <c r="E370" s="1"/>
      <c r="F370" s="1"/>
      <c r="G370" s="1"/>
      <c r="H370" s="15"/>
      <c r="I370" s="15" t="str">
        <f>IF(G370="","",IFERROR(VLOOKUP(G370,Listas!$D$2:$E$23,2,FALSE),""))</f>
        <v/>
      </c>
      <c r="J370" s="1"/>
      <c r="K370" s="1"/>
      <c r="L370" s="1"/>
      <c r="M370" s="1"/>
      <c r="N370" s="45" t="str">
        <f t="shared" ca="1" si="71"/>
        <v>ABIERTO</v>
      </c>
      <c r="O370" s="1"/>
      <c r="P370" s="84" t="str">
        <f>IFERROR(VLOOKUP(G370,Listas!$I$2:$J$23,2,FALSE),"")</f>
        <v/>
      </c>
    </row>
    <row r="371" spans="1:16">
      <c r="A371" s="1">
        <f t="shared" si="70"/>
        <v>369</v>
      </c>
      <c r="B371" s="32"/>
      <c r="C371" s="15"/>
      <c r="D371" s="1"/>
      <c r="E371" s="1"/>
      <c r="F371" s="1"/>
      <c r="G371" s="1"/>
      <c r="H371" s="15"/>
      <c r="I371" s="15" t="str">
        <f>IF(G371="","",IFERROR(VLOOKUP(G371,Listas!$D$2:$E$23,2,FALSE),""))</f>
        <v/>
      </c>
      <c r="J371" s="1"/>
      <c r="K371" s="1"/>
      <c r="L371" s="1"/>
      <c r="M371" s="1"/>
      <c r="N371" s="45" t="str">
        <f t="shared" ca="1" si="71"/>
        <v>ABIERTO</v>
      </c>
      <c r="O371" s="1"/>
      <c r="P371" s="84" t="str">
        <f>IFERROR(VLOOKUP(G371,Listas!$I$2:$J$23,2,FALSE),"")</f>
        <v/>
      </c>
    </row>
    <row r="372" spans="1:16">
      <c r="A372" s="1">
        <f t="shared" si="70"/>
        <v>370</v>
      </c>
      <c r="B372" s="32"/>
      <c r="C372" s="15"/>
      <c r="D372" s="1"/>
      <c r="E372" s="1"/>
      <c r="F372" s="1"/>
      <c r="G372" s="1"/>
      <c r="H372" s="15"/>
      <c r="I372" s="15" t="str">
        <f>IF(G372="","",IFERROR(VLOOKUP(G372,Listas!$D$2:$E$23,2,FALSE),""))</f>
        <v/>
      </c>
      <c r="J372" s="1"/>
      <c r="K372" s="1"/>
      <c r="L372" s="1"/>
      <c r="M372" s="1"/>
      <c r="N372" s="45" t="str">
        <f t="shared" ca="1" si="71"/>
        <v>ABIERTO</v>
      </c>
      <c r="O372" s="1"/>
      <c r="P372" s="84" t="str">
        <f>IFERROR(VLOOKUP(G372,Listas!$I$2:$J$23,2,FALSE),"")</f>
        <v/>
      </c>
    </row>
    <row r="373" spans="1:16">
      <c r="A373" s="1">
        <f t="shared" si="70"/>
        <v>371</v>
      </c>
      <c r="B373" s="32"/>
      <c r="C373" s="15"/>
      <c r="D373" s="1"/>
      <c r="E373" s="1"/>
      <c r="F373" s="1"/>
      <c r="G373" s="1"/>
      <c r="H373" s="15"/>
      <c r="I373" s="15" t="str">
        <f>IF(G373="","",IFERROR(VLOOKUP(G373,Listas!$D$2:$E$23,2,FALSE),""))</f>
        <v/>
      </c>
      <c r="J373" s="1"/>
      <c r="K373" s="1"/>
      <c r="L373" s="1"/>
      <c r="M373" s="1"/>
      <c r="N373" s="45" t="str">
        <f t="shared" ca="1" si="71"/>
        <v>ABIERTO</v>
      </c>
      <c r="O373" s="1"/>
      <c r="P373" s="84" t="str">
        <f>IFERROR(VLOOKUP(G373,Listas!$I$2:$J$23,2,FALSE),"")</f>
        <v/>
      </c>
    </row>
    <row r="374" spans="1:16">
      <c r="A374" s="1">
        <f t="shared" si="70"/>
        <v>372</v>
      </c>
      <c r="B374" s="32"/>
      <c r="C374" s="15"/>
      <c r="D374" s="1"/>
      <c r="E374" s="1"/>
      <c r="F374" s="1"/>
      <c r="G374" s="1"/>
      <c r="H374" s="15"/>
      <c r="I374" s="15" t="str">
        <f>IF(G374="","",IFERROR(VLOOKUP(G374,Listas!$D$2:$E$23,2,FALSE),""))</f>
        <v/>
      </c>
      <c r="J374" s="1"/>
      <c r="K374" s="1"/>
      <c r="L374" s="1"/>
      <c r="M374" s="1"/>
      <c r="N374" s="45" t="str">
        <f t="shared" ca="1" si="71"/>
        <v>ABIERTO</v>
      </c>
      <c r="O374" s="1"/>
      <c r="P374" s="84" t="str">
        <f>IFERROR(VLOOKUP(G374,Listas!$I$2:$J$23,2,FALSE),"")</f>
        <v/>
      </c>
    </row>
    <row r="375" spans="1:16">
      <c r="A375" s="1">
        <f t="shared" si="70"/>
        <v>373</v>
      </c>
      <c r="B375" s="32"/>
      <c r="C375" s="15"/>
      <c r="D375" s="1"/>
      <c r="E375" s="1"/>
      <c r="F375" s="1"/>
      <c r="G375" s="1"/>
      <c r="H375" s="15"/>
      <c r="I375" s="15" t="str">
        <f>IF(G375="","",IFERROR(VLOOKUP(G375,Listas!$D$2:$E$23,2,FALSE),""))</f>
        <v/>
      </c>
      <c r="J375" s="1"/>
      <c r="K375" s="1"/>
      <c r="L375" s="1"/>
      <c r="M375" s="1"/>
      <c r="N375" s="45" t="str">
        <f t="shared" ca="1" si="71"/>
        <v>ABIERTO</v>
      </c>
      <c r="O375" s="1"/>
      <c r="P375" s="84" t="str">
        <f>IFERROR(VLOOKUP(G375,Listas!$I$2:$J$23,2,FALSE),"")</f>
        <v/>
      </c>
    </row>
    <row r="376" spans="1:16">
      <c r="A376" s="1">
        <f t="shared" si="70"/>
        <v>374</v>
      </c>
      <c r="B376" s="32"/>
      <c r="C376" s="15"/>
      <c r="D376" s="1"/>
      <c r="E376" s="1"/>
      <c r="F376" s="1"/>
      <c r="G376" s="1"/>
      <c r="H376" s="15"/>
      <c r="I376" s="15" t="str">
        <f>IF(G376="","",IFERROR(VLOOKUP(G376,Listas!$D$2:$E$23,2,FALSE),""))</f>
        <v/>
      </c>
      <c r="J376" s="1"/>
      <c r="K376" s="1"/>
      <c r="L376" s="1"/>
      <c r="M376" s="1"/>
      <c r="N376" s="45" t="str">
        <f t="shared" ca="1" si="71"/>
        <v>ABIERTO</v>
      </c>
      <c r="O376" s="1"/>
      <c r="P376" s="84" t="str">
        <f>IFERROR(VLOOKUP(G376,Listas!$I$2:$J$23,2,FALSE),"")</f>
        <v/>
      </c>
    </row>
    <row r="377" spans="1:16">
      <c r="A377" s="1">
        <f t="shared" si="70"/>
        <v>375</v>
      </c>
      <c r="B377" s="32"/>
      <c r="C377" s="15"/>
      <c r="D377" s="1"/>
      <c r="E377" s="1"/>
      <c r="F377" s="1"/>
      <c r="G377" s="1"/>
      <c r="H377" s="15"/>
      <c r="I377" s="15" t="str">
        <f>IF(G377="","",IFERROR(VLOOKUP(G377,Listas!$D$2:$E$23,2,FALSE),""))</f>
        <v/>
      </c>
      <c r="J377" s="1"/>
      <c r="K377" s="1"/>
      <c r="L377" s="1"/>
      <c r="M377" s="1"/>
      <c r="N377" s="45" t="str">
        <f t="shared" ca="1" si="71"/>
        <v>ABIERTO</v>
      </c>
      <c r="O377" s="1"/>
      <c r="P377" s="84" t="str">
        <f>IFERROR(VLOOKUP(G377,Listas!$I$2:$J$23,2,FALSE),"")</f>
        <v/>
      </c>
    </row>
    <row r="378" spans="1:16">
      <c r="A378" s="1">
        <f t="shared" si="70"/>
        <v>376</v>
      </c>
      <c r="B378" s="32"/>
      <c r="C378" s="15"/>
      <c r="D378" s="1"/>
      <c r="E378" s="1"/>
      <c r="F378" s="1"/>
      <c r="G378" s="1"/>
      <c r="H378" s="15"/>
      <c r="I378" s="15" t="str">
        <f>IF(G378="","",IFERROR(VLOOKUP(G378,Listas!$D$2:$E$23,2,FALSE),""))</f>
        <v/>
      </c>
      <c r="J378" s="1"/>
      <c r="K378" s="1"/>
      <c r="L378" s="1"/>
      <c r="M378" s="1"/>
      <c r="N378" s="45" t="str">
        <f t="shared" ca="1" si="71"/>
        <v>ABIERTO</v>
      </c>
      <c r="O378" s="1"/>
      <c r="P378" s="84" t="str">
        <f>IFERROR(VLOOKUP(G378,Listas!$I$2:$J$23,2,FALSE),"")</f>
        <v/>
      </c>
    </row>
    <row r="379" spans="1:16">
      <c r="A379" s="1">
        <f t="shared" si="70"/>
        <v>377</v>
      </c>
      <c r="B379" s="32"/>
      <c r="C379" s="15"/>
      <c r="D379" s="1"/>
      <c r="E379" s="1"/>
      <c r="F379" s="1"/>
      <c r="G379" s="1"/>
      <c r="H379" s="15"/>
      <c r="I379" s="15" t="str">
        <f>IF(G379="","",IFERROR(VLOOKUP(G379,Listas!$D$2:$E$23,2,FALSE),""))</f>
        <v/>
      </c>
      <c r="J379" s="1"/>
      <c r="K379" s="1"/>
      <c r="L379" s="1"/>
      <c r="M379" s="1"/>
      <c r="N379" s="45" t="str">
        <f t="shared" ca="1" si="71"/>
        <v>ABIERTO</v>
      </c>
      <c r="O379" s="1"/>
      <c r="P379" s="84" t="str">
        <f>IFERROR(VLOOKUP(G379,Listas!$I$2:$J$23,2,FALSE),"")</f>
        <v/>
      </c>
    </row>
    <row r="380" spans="1:16">
      <c r="A380" s="1">
        <f t="shared" si="70"/>
        <v>378</v>
      </c>
      <c r="B380" s="32"/>
      <c r="C380" s="15"/>
      <c r="D380" s="1"/>
      <c r="E380" s="1"/>
      <c r="F380" s="1"/>
      <c r="G380" s="1"/>
      <c r="H380" s="15"/>
      <c r="I380" s="15" t="str">
        <f>IF(G380="","",IFERROR(VLOOKUP(G380,Listas!$D$2:$E$23,2,FALSE),""))</f>
        <v/>
      </c>
      <c r="J380" s="1"/>
      <c r="K380" s="1"/>
      <c r="L380" s="1"/>
      <c r="M380" s="1"/>
      <c r="N380" s="45" t="str">
        <f t="shared" ca="1" si="71"/>
        <v>ABIERTO</v>
      </c>
      <c r="O380" s="1"/>
      <c r="P380" s="84" t="str">
        <f>IFERROR(VLOOKUP(G380,Listas!$I$2:$J$23,2,FALSE),"")</f>
        <v/>
      </c>
    </row>
    <row r="381" spans="1:16">
      <c r="A381" s="1">
        <f t="shared" si="70"/>
        <v>379</v>
      </c>
      <c r="B381" s="32"/>
      <c r="C381" s="15"/>
      <c r="D381" s="1"/>
      <c r="E381" s="1"/>
      <c r="F381" s="1"/>
      <c r="G381" s="1"/>
      <c r="H381" s="15"/>
      <c r="I381" s="15" t="str">
        <f>IF(G381="","",IFERROR(VLOOKUP(G381,Listas!$D$2:$E$23,2,FALSE),""))</f>
        <v/>
      </c>
      <c r="J381" s="1"/>
      <c r="K381" s="1"/>
      <c r="L381" s="1"/>
      <c r="M381" s="1"/>
      <c r="N381" s="45" t="str">
        <f t="shared" ca="1" si="71"/>
        <v>ABIERTO</v>
      </c>
      <c r="O381" s="1"/>
      <c r="P381" s="84" t="str">
        <f>IFERROR(VLOOKUP(G381,Listas!$I$2:$J$23,2,FALSE),"")</f>
        <v/>
      </c>
    </row>
    <row r="382" spans="1:16">
      <c r="A382" s="1">
        <f t="shared" si="70"/>
        <v>380</v>
      </c>
      <c r="B382" s="32"/>
      <c r="C382" s="15"/>
      <c r="D382" s="1"/>
      <c r="E382" s="1"/>
      <c r="F382" s="1"/>
      <c r="G382" s="1"/>
      <c r="H382" s="15"/>
      <c r="I382" s="15" t="str">
        <f>IF(G382="","",IFERROR(VLOOKUP(G382,Listas!$D$2:$E$23,2,FALSE),""))</f>
        <v/>
      </c>
      <c r="J382" s="1"/>
      <c r="K382" s="1"/>
      <c r="L382" s="1"/>
      <c r="M382" s="1"/>
      <c r="N382" s="45" t="str">
        <f t="shared" ca="1" si="71"/>
        <v>ABIERTO</v>
      </c>
      <c r="O382" s="1"/>
      <c r="P382" s="84" t="str">
        <f>IFERROR(VLOOKUP(G382,Listas!$I$2:$J$23,2,FALSE),"")</f>
        <v/>
      </c>
    </row>
    <row r="383" spans="1:16">
      <c r="A383" s="1">
        <f t="shared" si="70"/>
        <v>381</v>
      </c>
      <c r="B383" s="32"/>
      <c r="C383" s="15"/>
      <c r="D383" s="1"/>
      <c r="E383" s="1"/>
      <c r="F383" s="1"/>
      <c r="G383" s="1"/>
      <c r="H383" s="15"/>
      <c r="I383" s="15" t="str">
        <f>IF(G383="","",IFERROR(VLOOKUP(G383,Listas!$D$2:$E$23,2,FALSE),""))</f>
        <v/>
      </c>
      <c r="J383" s="1"/>
      <c r="K383" s="1"/>
      <c r="L383" s="1"/>
      <c r="M383" s="1"/>
      <c r="N383" s="45" t="str">
        <f t="shared" ca="1" si="71"/>
        <v>ABIERTO</v>
      </c>
      <c r="O383" s="1"/>
      <c r="P383" s="84" t="str">
        <f>IFERROR(VLOOKUP(G383,Listas!$I$2:$J$23,2,FALSE),"")</f>
        <v/>
      </c>
    </row>
    <row r="384" spans="1:16">
      <c r="A384" s="1">
        <f t="shared" si="70"/>
        <v>382</v>
      </c>
      <c r="B384" s="32"/>
      <c r="C384" s="15"/>
      <c r="D384" s="1"/>
      <c r="E384" s="1"/>
      <c r="F384" s="1"/>
      <c r="G384" s="1"/>
      <c r="H384" s="15"/>
      <c r="I384" s="15" t="str">
        <f>IF(G384="","",IFERROR(VLOOKUP(G384,Listas!$D$2:$E$23,2,FALSE),""))</f>
        <v/>
      </c>
      <c r="J384" s="1"/>
      <c r="K384" s="1"/>
      <c r="L384" s="1"/>
      <c r="M384" s="1"/>
      <c r="N384" s="45" t="str">
        <f t="shared" ca="1" si="71"/>
        <v>ABIERTO</v>
      </c>
      <c r="O384" s="1"/>
      <c r="P384" s="84" t="str">
        <f>IFERROR(VLOOKUP(G384,Listas!$I$2:$J$23,2,FALSE),"")</f>
        <v/>
      </c>
    </row>
    <row r="385" spans="1:16">
      <c r="A385" s="1">
        <f t="shared" si="70"/>
        <v>383</v>
      </c>
      <c r="B385" s="32"/>
      <c r="C385" s="15"/>
      <c r="D385" s="1"/>
      <c r="E385" s="1"/>
      <c r="F385" s="1"/>
      <c r="G385" s="1"/>
      <c r="H385" s="15"/>
      <c r="I385" s="15" t="str">
        <f>IF(G385="","",IFERROR(VLOOKUP(G385,Listas!$D$2:$E$23,2,FALSE),""))</f>
        <v/>
      </c>
      <c r="J385" s="1"/>
      <c r="K385" s="1"/>
      <c r="L385" s="1"/>
      <c r="M385" s="1"/>
      <c r="N385" s="45" t="str">
        <f t="shared" ca="1" si="71"/>
        <v>ABIERTO</v>
      </c>
      <c r="O385" s="1"/>
      <c r="P385" s="84" t="str">
        <f>IFERROR(VLOOKUP(G385,Listas!$I$2:$J$23,2,FALSE),"")</f>
        <v/>
      </c>
    </row>
    <row r="386" spans="1:16">
      <c r="A386" s="1">
        <f t="shared" si="70"/>
        <v>384</v>
      </c>
      <c r="B386" s="32"/>
      <c r="C386" s="15"/>
      <c r="D386" s="1"/>
      <c r="E386" s="1"/>
      <c r="F386" s="1"/>
      <c r="G386" s="1"/>
      <c r="H386" s="15"/>
      <c r="I386" s="15" t="str">
        <f>IF(G386="","",IFERROR(VLOOKUP(G386,Listas!$D$2:$E$23,2,FALSE),""))</f>
        <v/>
      </c>
      <c r="J386" s="1"/>
      <c r="K386" s="1"/>
      <c r="L386" s="1"/>
      <c r="M386" s="1"/>
      <c r="N386" s="45" t="str">
        <f t="shared" ca="1" si="71"/>
        <v>ABIERTO</v>
      </c>
      <c r="O386" s="1"/>
      <c r="P386" s="84" t="str">
        <f>IFERROR(VLOOKUP(G386,Listas!$I$2:$J$23,2,FALSE),"")</f>
        <v/>
      </c>
    </row>
    <row r="387" spans="1:16">
      <c r="A387" s="1">
        <f t="shared" si="70"/>
        <v>385</v>
      </c>
      <c r="B387" s="32"/>
      <c r="C387" s="15"/>
      <c r="D387" s="1"/>
      <c r="E387" s="1"/>
      <c r="F387" s="1"/>
      <c r="G387" s="1"/>
      <c r="H387" s="15"/>
      <c r="I387" s="15" t="str">
        <f>IF(G387="","",IFERROR(VLOOKUP(G387,Listas!$D$2:$E$23,2,FALSE),""))</f>
        <v/>
      </c>
      <c r="J387" s="1"/>
      <c r="K387" s="1"/>
      <c r="L387" s="1"/>
      <c r="M387" s="1"/>
      <c r="N387" s="45" t="str">
        <f t="shared" ca="1" si="71"/>
        <v>ABIERTO</v>
      </c>
      <c r="O387" s="1"/>
      <c r="P387" s="84" t="str">
        <f>IFERROR(VLOOKUP(G387,Listas!$I$2:$J$23,2,FALSE),"")</f>
        <v/>
      </c>
    </row>
    <row r="388" spans="1:16">
      <c r="A388" s="1">
        <f t="shared" si="70"/>
        <v>386</v>
      </c>
      <c r="B388" s="32"/>
      <c r="C388" s="15"/>
      <c r="D388" s="1"/>
      <c r="E388" s="1"/>
      <c r="F388" s="1"/>
      <c r="G388" s="1"/>
      <c r="H388" s="15"/>
      <c r="I388" s="15" t="str">
        <f>IF(G388="","",IFERROR(VLOOKUP(G388,Listas!$D$2:$E$23,2,FALSE),""))</f>
        <v/>
      </c>
      <c r="J388" s="1"/>
      <c r="K388" s="1"/>
      <c r="L388" s="1"/>
      <c r="M388" s="1"/>
      <c r="N388" s="45" t="str">
        <f t="shared" ca="1" si="71"/>
        <v>ABIERTO</v>
      </c>
      <c r="O388" s="1"/>
      <c r="P388" s="84" t="str">
        <f>IFERROR(VLOOKUP(G388,Listas!$I$2:$J$23,2,FALSE),"")</f>
        <v/>
      </c>
    </row>
    <row r="389" spans="1:16">
      <c r="A389" s="1">
        <f t="shared" si="70"/>
        <v>387</v>
      </c>
      <c r="B389" s="32"/>
      <c r="C389" s="15"/>
      <c r="D389" s="1"/>
      <c r="E389" s="1"/>
      <c r="F389" s="1"/>
      <c r="G389" s="1"/>
      <c r="H389" s="15"/>
      <c r="I389" s="15" t="str">
        <f>IF(G389="","",IFERROR(VLOOKUP(G389,Listas!$D$2:$E$23,2,FALSE),""))</f>
        <v/>
      </c>
      <c r="J389" s="1"/>
      <c r="K389" s="1"/>
      <c r="L389" s="1"/>
      <c r="M389" s="1"/>
      <c r="N389" s="45" t="str">
        <f t="shared" ca="1" si="71"/>
        <v>ABIERTO</v>
      </c>
      <c r="O389" s="1"/>
      <c r="P389" s="84" t="str">
        <f>IFERROR(VLOOKUP(G389,Listas!$I$2:$J$23,2,FALSE),"")</f>
        <v/>
      </c>
    </row>
  </sheetData>
  <autoFilter ref="A2:DR389"/>
  <dataValidations count="5">
    <dataValidation allowBlank="1" showInputMessage="1" showErrorMessage="1" sqref="N336:N389 N3:O335"/>
    <dataValidation type="list" allowBlank="1" showErrorMessage="1" errorTitle="Área no válida" error="Seleccione un área de la lista." sqref="G3:G389">
      <formula1>INDIRECT("'Listas'!$D$2:$D$23")</formula1>
    </dataValidation>
    <dataValidation type="list" allowBlank="1" showErrorMessage="1" errorTitle="Responsable no válido" error="Seleccione un responsable de cierre de la lista." sqref="K3:K389">
      <formula1>INDIRECT("'Listas'!$V$2:$V$21")</formula1>
    </dataValidation>
    <dataValidation type="list" allowBlank="1" showErrorMessage="1" errorTitle="Riesgo no válido" error="Seleccione un riesgo de la lista desplegable." sqref="E3:E389">
      <formula1>INDIRECT("'Listas'!$C$2:$C$156")</formula1>
    </dataValidation>
    <dataValidation type="list" allowBlank="1" showErrorMessage="1" errorTitle="Máquina o lugar no válido" error="Seleccione una opción correspondiente al área elegida." sqref="H3:H389">
      <formula1>INDIRECT($P3)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Listas!$B$2:$B$3</xm:f>
          </x14:formula1>
          <xm:sqref>C3:C340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V156"/>
  <sheetViews>
    <sheetView workbookViewId="0"/>
  </sheetViews>
  <sheetFormatPr baseColWidth="10" defaultColWidth="8.88671875" defaultRowHeight="14.4"/>
  <cols>
    <col min="2" max="2" width="22.6640625" customWidth="1"/>
    <col min="3" max="3" width="69.44140625" customWidth="1"/>
    <col min="4" max="4" width="25" customWidth="1"/>
    <col min="5" max="5" width="27.109375" customWidth="1"/>
    <col min="6" max="6" width="28.88671875" customWidth="1"/>
    <col min="7" max="7" width="15.44140625" customWidth="1"/>
    <col min="9" max="9" width="28" customWidth="1"/>
    <col min="10" max="10" width="30" customWidth="1"/>
    <col min="11" max="11" width="28" customWidth="1"/>
    <col min="13" max="22" width="28" customWidth="1"/>
  </cols>
  <sheetData>
    <row r="1" spans="2:22" ht="28.8">
      <c r="B1" s="3" t="s">
        <v>802</v>
      </c>
      <c r="C1" s="3" t="s">
        <v>803</v>
      </c>
      <c r="D1" s="73" t="s">
        <v>804</v>
      </c>
      <c r="E1" s="73" t="s">
        <v>805</v>
      </c>
      <c r="F1" s="73" t="s">
        <v>806</v>
      </c>
      <c r="G1" s="3" t="s">
        <v>14</v>
      </c>
      <c r="I1" s="77" t="s">
        <v>807</v>
      </c>
      <c r="J1" s="77" t="s">
        <v>808</v>
      </c>
      <c r="K1" s="77" t="s">
        <v>809</v>
      </c>
      <c r="L1" s="77"/>
      <c r="M1" s="77" t="s">
        <v>20</v>
      </c>
      <c r="N1" s="77" t="s">
        <v>30</v>
      </c>
      <c r="O1" s="77" t="s">
        <v>54</v>
      </c>
      <c r="P1" s="77" t="s">
        <v>57</v>
      </c>
      <c r="Q1" s="77" t="s">
        <v>72</v>
      </c>
      <c r="R1" s="77" t="s">
        <v>810</v>
      </c>
      <c r="S1" s="77" t="s">
        <v>352</v>
      </c>
      <c r="T1" s="77" t="s">
        <v>811</v>
      </c>
      <c r="U1" s="77" t="s">
        <v>812</v>
      </c>
      <c r="V1" s="77" t="s">
        <v>813</v>
      </c>
    </row>
    <row r="2" spans="2:22">
      <c r="B2" t="s">
        <v>16</v>
      </c>
      <c r="C2" s="79" t="s">
        <v>814</v>
      </c>
      <c r="D2" s="74" t="s">
        <v>20</v>
      </c>
      <c r="E2" s="74" t="s">
        <v>815</v>
      </c>
      <c r="F2" s="74" t="s">
        <v>815</v>
      </c>
      <c r="G2" t="s">
        <v>816</v>
      </c>
      <c r="I2" t="s">
        <v>20</v>
      </c>
      <c r="J2" t="s">
        <v>817</v>
      </c>
      <c r="M2" t="s" cm="1">
        <v>818</v>
      </c>
      <c r="N2" t="s" cm="1">
        <v>819</v>
      </c>
      <c r="O2" t="s" cm="1">
        <v>820</v>
      </c>
      <c r="P2" t="s" cm="1">
        <v>821</v>
      </c>
      <c r="Q2" t="s" cm="1">
        <v>822</v>
      </c>
      <c r="R2" t="s" cm="1">
        <v>823</v>
      </c>
      <c r="S2" t="s" cm="1">
        <v>824</v>
      </c>
      <c r="T2" t="s">
        <v>825</v>
      </c>
      <c r="U2" t="s">
        <v>826</v>
      </c>
      <c r="V2" t="s">
        <v>815</v>
      </c>
    </row>
    <row r="3" spans="2:22">
      <c r="B3" t="s">
        <v>23</v>
      </c>
      <c r="C3" s="79" t="s">
        <v>799</v>
      </c>
      <c r="D3" s="74" t="s">
        <v>30</v>
      </c>
      <c r="E3" s="74" t="s">
        <v>827</v>
      </c>
      <c r="F3" s="74" t="s">
        <v>827</v>
      </c>
      <c r="G3" t="s">
        <v>828</v>
      </c>
      <c r="I3" t="s">
        <v>30</v>
      </c>
      <c r="J3" t="s">
        <v>829</v>
      </c>
      <c r="M3" t="s">
        <v>21</v>
      </c>
      <c r="N3" t="s">
        <v>800</v>
      </c>
      <c r="O3" t="s">
        <v>830</v>
      </c>
      <c r="P3" t="s">
        <v>831</v>
      </c>
      <c r="Q3" t="s">
        <v>832</v>
      </c>
      <c r="R3" t="s">
        <v>312</v>
      </c>
      <c r="S3" t="s">
        <v>833</v>
      </c>
      <c r="T3" t="s">
        <v>834</v>
      </c>
      <c r="U3" t="s">
        <v>835</v>
      </c>
      <c r="V3" t="s">
        <v>827</v>
      </c>
    </row>
    <row r="4" spans="2:22">
      <c r="C4" s="79" t="s">
        <v>836</v>
      </c>
      <c r="D4" s="74" t="s">
        <v>57</v>
      </c>
      <c r="E4" s="74" t="s">
        <v>837</v>
      </c>
      <c r="F4" s="74" t="s">
        <v>837</v>
      </c>
      <c r="G4" t="s">
        <v>838</v>
      </c>
      <c r="I4" t="s">
        <v>57</v>
      </c>
      <c r="J4" t="s">
        <v>839</v>
      </c>
      <c r="M4" t="s">
        <v>269</v>
      </c>
      <c r="N4" t="s">
        <v>840</v>
      </c>
      <c r="O4" t="s">
        <v>423</v>
      </c>
      <c r="P4" t="s">
        <v>841</v>
      </c>
      <c r="Q4" t="s">
        <v>842</v>
      </c>
      <c r="R4" t="s">
        <v>633</v>
      </c>
      <c r="T4" t="s">
        <v>843</v>
      </c>
      <c r="U4" t="s">
        <v>844</v>
      </c>
      <c r="V4" t="s">
        <v>837</v>
      </c>
    </row>
    <row r="5" spans="2:22">
      <c r="C5" s="79" t="s">
        <v>845</v>
      </c>
      <c r="D5" s="74" t="s">
        <v>54</v>
      </c>
      <c r="E5" s="74" t="s">
        <v>846</v>
      </c>
      <c r="F5" s="74" t="s">
        <v>846</v>
      </c>
      <c r="G5" t="s">
        <v>847</v>
      </c>
      <c r="I5" t="s">
        <v>54</v>
      </c>
      <c r="J5" t="s">
        <v>848</v>
      </c>
      <c r="M5" t="s">
        <v>26</v>
      </c>
      <c r="N5" t="s">
        <v>849</v>
      </c>
      <c r="O5" t="s">
        <v>850</v>
      </c>
      <c r="P5" t="s">
        <v>379</v>
      </c>
      <c r="Q5" t="s">
        <v>33</v>
      </c>
      <c r="R5" t="s">
        <v>851</v>
      </c>
      <c r="T5" t="s">
        <v>852</v>
      </c>
      <c r="V5" t="s">
        <v>846</v>
      </c>
    </row>
    <row r="6" spans="2:22">
      <c r="C6" s="79" t="s">
        <v>853</v>
      </c>
      <c r="D6" s="74" t="s">
        <v>72</v>
      </c>
      <c r="E6" s="74" t="s">
        <v>854</v>
      </c>
      <c r="F6" s="74" t="s">
        <v>854</v>
      </c>
      <c r="I6" t="s">
        <v>72</v>
      </c>
      <c r="J6" t="s">
        <v>855</v>
      </c>
      <c r="M6" t="s">
        <v>157</v>
      </c>
      <c r="N6" t="s">
        <v>856</v>
      </c>
      <c r="O6" t="s">
        <v>128</v>
      </c>
      <c r="P6" t="s">
        <v>376</v>
      </c>
      <c r="Q6" t="s">
        <v>857</v>
      </c>
      <c r="R6" t="s">
        <v>309</v>
      </c>
      <c r="T6" t="s">
        <v>858</v>
      </c>
      <c r="V6" t="s">
        <v>854</v>
      </c>
    </row>
    <row r="7" spans="2:22">
      <c r="B7" s="6">
        <f ca="1">TODAY()</f>
        <v>46241</v>
      </c>
      <c r="C7" s="79" t="s">
        <v>859</v>
      </c>
      <c r="D7" s="74" t="s">
        <v>52</v>
      </c>
      <c r="E7" s="74" t="s">
        <v>860</v>
      </c>
      <c r="F7" s="74" t="s">
        <v>860</v>
      </c>
      <c r="I7" t="s">
        <v>52</v>
      </c>
      <c r="J7" t="s">
        <v>861</v>
      </c>
      <c r="K7" t="s">
        <v>52</v>
      </c>
      <c r="M7" t="s">
        <v>862</v>
      </c>
      <c r="N7" t="s">
        <v>863</v>
      </c>
      <c r="O7" t="s">
        <v>273</v>
      </c>
      <c r="P7" t="s">
        <v>560</v>
      </c>
      <c r="Q7" t="s">
        <v>864</v>
      </c>
      <c r="R7" t="s">
        <v>865</v>
      </c>
      <c r="T7" t="s">
        <v>866</v>
      </c>
      <c r="V7" t="s">
        <v>860</v>
      </c>
    </row>
    <row r="8" spans="2:22">
      <c r="C8" s="79" t="s">
        <v>867</v>
      </c>
      <c r="D8" s="74" t="s">
        <v>69</v>
      </c>
      <c r="E8" s="74" t="s">
        <v>868</v>
      </c>
      <c r="F8" s="74" t="s">
        <v>868</v>
      </c>
      <c r="I8" t="s">
        <v>69</v>
      </c>
      <c r="J8" t="s">
        <v>869</v>
      </c>
      <c r="M8" t="s">
        <v>75</v>
      </c>
      <c r="N8" t="s">
        <v>386</v>
      </c>
      <c r="O8" t="s">
        <v>870</v>
      </c>
      <c r="P8" t="s">
        <v>58</v>
      </c>
      <c r="Q8" t="s">
        <v>642</v>
      </c>
      <c r="R8" t="s">
        <v>871</v>
      </c>
      <c r="T8" t="s">
        <v>872</v>
      </c>
      <c r="V8" t="s">
        <v>868</v>
      </c>
    </row>
    <row r="9" spans="2:22">
      <c r="C9" s="79" t="s">
        <v>873</v>
      </c>
      <c r="D9" s="74" t="s">
        <v>175</v>
      </c>
      <c r="E9" s="74" t="s">
        <v>874</v>
      </c>
      <c r="F9" s="74" t="s">
        <v>874</v>
      </c>
      <c r="I9" t="s">
        <v>175</v>
      </c>
      <c r="J9" t="s">
        <v>869</v>
      </c>
      <c r="M9" t="s">
        <v>529</v>
      </c>
      <c r="N9" t="s">
        <v>875</v>
      </c>
      <c r="O9" t="s">
        <v>398</v>
      </c>
      <c r="P9" t="s">
        <v>345</v>
      </c>
      <c r="Q9" t="s">
        <v>876</v>
      </c>
      <c r="R9" t="s">
        <v>877</v>
      </c>
      <c r="T9" t="s">
        <v>878</v>
      </c>
      <c r="V9" t="s">
        <v>874</v>
      </c>
    </row>
    <row r="10" spans="2:22">
      <c r="C10" s="79" t="s">
        <v>879</v>
      </c>
      <c r="D10" s="74" t="s">
        <v>718</v>
      </c>
      <c r="E10" s="74" t="s">
        <v>880</v>
      </c>
      <c r="F10" s="74" t="s">
        <v>880</v>
      </c>
      <c r="I10" t="s">
        <v>718</v>
      </c>
      <c r="J10" t="s">
        <v>881</v>
      </c>
      <c r="K10" t="s">
        <v>718</v>
      </c>
      <c r="M10" t="s">
        <v>663</v>
      </c>
      <c r="N10" t="s">
        <v>221</v>
      </c>
      <c r="O10" t="s">
        <v>882</v>
      </c>
      <c r="P10" t="s">
        <v>703</v>
      </c>
      <c r="Q10" t="s">
        <v>844</v>
      </c>
      <c r="R10" t="s">
        <v>462</v>
      </c>
      <c r="T10" t="s">
        <v>883</v>
      </c>
      <c r="V10" t="s">
        <v>880</v>
      </c>
    </row>
    <row r="11" spans="2:22">
      <c r="C11" s="79" t="s">
        <v>884</v>
      </c>
      <c r="D11" s="74" t="s">
        <v>352</v>
      </c>
      <c r="E11" s="74" t="s">
        <v>885</v>
      </c>
      <c r="F11" s="74" t="s">
        <v>885</v>
      </c>
      <c r="I11" t="s">
        <v>352</v>
      </c>
      <c r="J11" t="s">
        <v>886</v>
      </c>
      <c r="M11" t="s">
        <v>33</v>
      </c>
      <c r="N11" t="s">
        <v>33</v>
      </c>
      <c r="O11" t="s">
        <v>887</v>
      </c>
      <c r="P11" t="s">
        <v>33</v>
      </c>
      <c r="R11" t="s">
        <v>822</v>
      </c>
      <c r="T11" t="s">
        <v>888</v>
      </c>
      <c r="V11" t="s">
        <v>885</v>
      </c>
    </row>
    <row r="12" spans="2:22">
      <c r="C12" s="79" t="s">
        <v>889</v>
      </c>
      <c r="D12" s="74" t="s">
        <v>217</v>
      </c>
      <c r="E12" s="74" t="s">
        <v>890</v>
      </c>
      <c r="F12" s="74" t="s">
        <v>890</v>
      </c>
      <c r="I12" t="s">
        <v>217</v>
      </c>
      <c r="J12" t="s">
        <v>891</v>
      </c>
      <c r="K12" t="s">
        <v>217</v>
      </c>
      <c r="M12" t="s">
        <v>892</v>
      </c>
      <c r="N12" t="s">
        <v>893</v>
      </c>
      <c r="O12" t="s">
        <v>601</v>
      </c>
      <c r="P12" t="s">
        <v>894</v>
      </c>
      <c r="R12" t="s">
        <v>832</v>
      </c>
      <c r="T12" t="s">
        <v>895</v>
      </c>
      <c r="V12" t="s">
        <v>890</v>
      </c>
    </row>
    <row r="13" spans="2:22">
      <c r="C13" s="79" t="s">
        <v>896</v>
      </c>
      <c r="D13" s="74" t="s">
        <v>812</v>
      </c>
      <c r="E13" s="74" t="s">
        <v>897</v>
      </c>
      <c r="F13" s="74" t="s">
        <v>898</v>
      </c>
      <c r="I13" t="s">
        <v>812</v>
      </c>
      <c r="J13" t="s">
        <v>899</v>
      </c>
      <c r="M13" t="s">
        <v>900</v>
      </c>
      <c r="N13" t="s">
        <v>381</v>
      </c>
      <c r="O13" t="s">
        <v>33</v>
      </c>
      <c r="P13" t="s">
        <v>822</v>
      </c>
      <c r="R13" t="s">
        <v>901</v>
      </c>
      <c r="T13" t="s">
        <v>902</v>
      </c>
      <c r="V13" t="s">
        <v>898</v>
      </c>
    </row>
    <row r="14" spans="2:22">
      <c r="C14" s="79" t="s">
        <v>903</v>
      </c>
      <c r="D14" s="74" t="s">
        <v>904</v>
      </c>
      <c r="E14" s="74" t="s">
        <v>905</v>
      </c>
      <c r="F14" s="74" t="s">
        <v>905</v>
      </c>
      <c r="I14" t="s">
        <v>904</v>
      </c>
      <c r="J14" t="s">
        <v>906</v>
      </c>
      <c r="K14" t="s">
        <v>904</v>
      </c>
      <c r="M14" t="s">
        <v>822</v>
      </c>
      <c r="N14" t="s">
        <v>822</v>
      </c>
      <c r="O14" t="s">
        <v>907</v>
      </c>
      <c r="P14" t="s">
        <v>832</v>
      </c>
      <c r="R14" t="s">
        <v>908</v>
      </c>
      <c r="T14" t="s">
        <v>909</v>
      </c>
      <c r="V14" t="s">
        <v>905</v>
      </c>
    </row>
    <row r="15" spans="2:22">
      <c r="C15" s="79" t="s">
        <v>910</v>
      </c>
      <c r="D15" s="74" t="s">
        <v>119</v>
      </c>
      <c r="E15" s="74" t="s">
        <v>911</v>
      </c>
      <c r="F15" s="74" t="s">
        <v>911</v>
      </c>
      <c r="I15" t="s">
        <v>119</v>
      </c>
      <c r="J15" t="s">
        <v>912</v>
      </c>
      <c r="K15" t="s">
        <v>119</v>
      </c>
      <c r="M15" t="s">
        <v>913</v>
      </c>
      <c r="N15" t="s">
        <v>913</v>
      </c>
      <c r="O15" t="s">
        <v>844</v>
      </c>
      <c r="P15" t="s">
        <v>842</v>
      </c>
      <c r="R15" t="s">
        <v>914</v>
      </c>
      <c r="T15" t="s">
        <v>915</v>
      </c>
      <c r="V15" t="s">
        <v>911</v>
      </c>
    </row>
    <row r="16" spans="2:22">
      <c r="C16" s="79" t="s">
        <v>916</v>
      </c>
      <c r="D16" s="74" t="s">
        <v>811</v>
      </c>
      <c r="E16" s="75" t="s">
        <v>917</v>
      </c>
      <c r="F16" s="74"/>
      <c r="I16" t="s">
        <v>811</v>
      </c>
      <c r="J16" t="s">
        <v>918</v>
      </c>
      <c r="M16" t="s">
        <v>832</v>
      </c>
      <c r="N16" t="s">
        <v>832</v>
      </c>
      <c r="P16" t="s">
        <v>844</v>
      </c>
      <c r="R16" t="s">
        <v>844</v>
      </c>
      <c r="T16" t="s">
        <v>919</v>
      </c>
      <c r="V16" t="s">
        <v>920</v>
      </c>
    </row>
    <row r="17" spans="3:22">
      <c r="C17" s="79" t="s">
        <v>921</v>
      </c>
      <c r="D17" s="74" t="s">
        <v>922</v>
      </c>
      <c r="E17" s="74" t="s">
        <v>920</v>
      </c>
      <c r="F17" s="74" t="s">
        <v>920</v>
      </c>
      <c r="I17" t="s">
        <v>923</v>
      </c>
      <c r="J17" t="s">
        <v>924</v>
      </c>
      <c r="K17" t="s">
        <v>923</v>
      </c>
      <c r="M17" t="s">
        <v>381</v>
      </c>
      <c r="N17" t="s">
        <v>844</v>
      </c>
      <c r="T17" t="s">
        <v>925</v>
      </c>
      <c r="V17" t="s">
        <v>926</v>
      </c>
    </row>
    <row r="18" spans="3:22">
      <c r="C18" s="79" t="s">
        <v>927</v>
      </c>
      <c r="D18" s="74" t="s">
        <v>928</v>
      </c>
      <c r="E18" s="74" t="s">
        <v>920</v>
      </c>
      <c r="F18" s="74"/>
      <c r="I18" t="s">
        <v>929</v>
      </c>
      <c r="J18" t="s">
        <v>930</v>
      </c>
      <c r="K18" t="s">
        <v>929</v>
      </c>
      <c r="M18" t="s">
        <v>931</v>
      </c>
      <c r="T18" t="s">
        <v>932</v>
      </c>
      <c r="V18" t="s">
        <v>933</v>
      </c>
    </row>
    <row r="19" spans="3:22">
      <c r="C19" s="79" t="s">
        <v>934</v>
      </c>
      <c r="D19" s="74" t="s">
        <v>935</v>
      </c>
      <c r="E19" s="74" t="s">
        <v>926</v>
      </c>
      <c r="F19" s="74" t="s">
        <v>926</v>
      </c>
      <c r="I19" t="s">
        <v>935</v>
      </c>
      <c r="J19" t="s">
        <v>936</v>
      </c>
      <c r="K19" t="s">
        <v>935</v>
      </c>
      <c r="M19" t="s">
        <v>844</v>
      </c>
      <c r="T19" t="s">
        <v>844</v>
      </c>
      <c r="V19" t="s">
        <v>937</v>
      </c>
    </row>
    <row r="20" spans="3:22">
      <c r="C20" s="79" t="s">
        <v>938</v>
      </c>
      <c r="D20" s="74" t="s">
        <v>356</v>
      </c>
      <c r="E20" s="74" t="s">
        <v>933</v>
      </c>
      <c r="F20" s="74" t="s">
        <v>933</v>
      </c>
      <c r="I20" t="s">
        <v>356</v>
      </c>
      <c r="J20" t="s">
        <v>939</v>
      </c>
      <c r="K20" t="s">
        <v>356</v>
      </c>
      <c r="V20" t="s">
        <v>940</v>
      </c>
    </row>
    <row r="21" spans="3:22">
      <c r="C21" s="79" t="s">
        <v>941</v>
      </c>
      <c r="D21" s="74" t="s">
        <v>552</v>
      </c>
      <c r="E21" s="74" t="s">
        <v>937</v>
      </c>
      <c r="F21" s="74" t="s">
        <v>937</v>
      </c>
      <c r="I21" t="s">
        <v>552</v>
      </c>
      <c r="J21" t="s">
        <v>942</v>
      </c>
      <c r="K21" t="s">
        <v>552</v>
      </c>
      <c r="V21" t="s">
        <v>943</v>
      </c>
    </row>
    <row r="22" spans="3:22">
      <c r="C22" s="79" t="s">
        <v>944</v>
      </c>
      <c r="D22" s="74" t="s">
        <v>748</v>
      </c>
      <c r="E22" s="74" t="s">
        <v>940</v>
      </c>
      <c r="F22" s="74" t="s">
        <v>940</v>
      </c>
      <c r="I22" t="s">
        <v>748</v>
      </c>
      <c r="J22" t="s">
        <v>869</v>
      </c>
    </row>
    <row r="23" spans="3:22">
      <c r="C23" s="79" t="s">
        <v>945</v>
      </c>
      <c r="D23" s="74" t="s">
        <v>763</v>
      </c>
      <c r="E23" s="74" t="s">
        <v>943</v>
      </c>
      <c r="F23" s="74" t="s">
        <v>943</v>
      </c>
      <c r="I23" t="s">
        <v>763</v>
      </c>
      <c r="J23" t="s">
        <v>946</v>
      </c>
      <c r="K23" t="s">
        <v>763</v>
      </c>
    </row>
    <row r="24" spans="3:22">
      <c r="C24" s="79" t="s">
        <v>947</v>
      </c>
    </row>
    <row r="25" spans="3:22">
      <c r="C25" s="79" t="s">
        <v>948</v>
      </c>
    </row>
    <row r="26" spans="3:22">
      <c r="C26" s="79" t="s">
        <v>949</v>
      </c>
    </row>
    <row r="27" spans="3:22">
      <c r="C27" s="79" t="s">
        <v>950</v>
      </c>
    </row>
    <row r="28" spans="3:22">
      <c r="C28" s="79" t="s">
        <v>951</v>
      </c>
    </row>
    <row r="29" spans="3:22">
      <c r="C29" s="79" t="s">
        <v>952</v>
      </c>
    </row>
    <row r="30" spans="3:22">
      <c r="C30" s="79" t="s">
        <v>953</v>
      </c>
    </row>
    <row r="31" spans="3:22">
      <c r="C31" s="79" t="s">
        <v>954</v>
      </c>
    </row>
    <row r="32" spans="3:22">
      <c r="C32" s="79" t="s">
        <v>955</v>
      </c>
    </row>
    <row r="33" spans="3:3">
      <c r="C33" s="79" t="s">
        <v>956</v>
      </c>
    </row>
    <row r="34" spans="3:3">
      <c r="C34" s="79" t="s">
        <v>957</v>
      </c>
    </row>
    <row r="35" spans="3:3">
      <c r="C35" s="79" t="s">
        <v>958</v>
      </c>
    </row>
    <row r="36" spans="3:3">
      <c r="C36" s="79" t="s">
        <v>959</v>
      </c>
    </row>
    <row r="37" spans="3:3">
      <c r="C37" s="79" t="s">
        <v>960</v>
      </c>
    </row>
    <row r="38" spans="3:3">
      <c r="C38" s="79" t="s">
        <v>961</v>
      </c>
    </row>
    <row r="39" spans="3:3">
      <c r="C39" s="79" t="s">
        <v>962</v>
      </c>
    </row>
    <row r="40" spans="3:3">
      <c r="C40" s="79" t="s">
        <v>963</v>
      </c>
    </row>
    <row r="41" spans="3:3">
      <c r="C41" s="79" t="s">
        <v>964</v>
      </c>
    </row>
    <row r="42" spans="3:3">
      <c r="C42" s="79" t="s">
        <v>965</v>
      </c>
    </row>
    <row r="43" spans="3:3">
      <c r="C43" s="79" t="s">
        <v>966</v>
      </c>
    </row>
    <row r="44" spans="3:3">
      <c r="C44" s="79" t="s">
        <v>967</v>
      </c>
    </row>
    <row r="45" spans="3:3">
      <c r="C45" s="79" t="s">
        <v>968</v>
      </c>
    </row>
    <row r="46" spans="3:3">
      <c r="C46" s="79" t="s">
        <v>969</v>
      </c>
    </row>
    <row r="47" spans="3:3">
      <c r="C47" s="79" t="s">
        <v>970</v>
      </c>
    </row>
    <row r="48" spans="3:3">
      <c r="C48" s="79" t="s">
        <v>971</v>
      </c>
    </row>
    <row r="49" spans="3:3">
      <c r="C49" s="79" t="s">
        <v>972</v>
      </c>
    </row>
    <row r="50" spans="3:3">
      <c r="C50" s="79" t="s">
        <v>973</v>
      </c>
    </row>
    <row r="51" spans="3:3">
      <c r="C51" s="79" t="s">
        <v>974</v>
      </c>
    </row>
    <row r="52" spans="3:3">
      <c r="C52" s="79" t="s">
        <v>975</v>
      </c>
    </row>
    <row r="53" spans="3:3">
      <c r="C53" s="79" t="s">
        <v>976</v>
      </c>
    </row>
    <row r="54" spans="3:3">
      <c r="C54" s="79" t="s">
        <v>977</v>
      </c>
    </row>
    <row r="55" spans="3:3">
      <c r="C55" s="79" t="s">
        <v>978</v>
      </c>
    </row>
    <row r="56" spans="3:3">
      <c r="C56" s="79" t="s">
        <v>979</v>
      </c>
    </row>
    <row r="57" spans="3:3">
      <c r="C57" s="79" t="s">
        <v>980</v>
      </c>
    </row>
    <row r="58" spans="3:3">
      <c r="C58" s="79" t="s">
        <v>981</v>
      </c>
    </row>
    <row r="59" spans="3:3">
      <c r="C59" s="79" t="s">
        <v>982</v>
      </c>
    </row>
    <row r="60" spans="3:3">
      <c r="C60" s="79" t="s">
        <v>983</v>
      </c>
    </row>
    <row r="61" spans="3:3">
      <c r="C61" s="79" t="s">
        <v>984</v>
      </c>
    </row>
    <row r="62" spans="3:3">
      <c r="C62" s="79" t="s">
        <v>985</v>
      </c>
    </row>
    <row r="63" spans="3:3">
      <c r="C63" s="79" t="s">
        <v>986</v>
      </c>
    </row>
    <row r="64" spans="3:3">
      <c r="C64" s="80" t="s">
        <v>987</v>
      </c>
    </row>
    <row r="65" spans="3:3">
      <c r="C65" s="80" t="s">
        <v>988</v>
      </c>
    </row>
    <row r="66" spans="3:3">
      <c r="C66" s="80" t="s">
        <v>989</v>
      </c>
    </row>
    <row r="67" spans="3:3">
      <c r="C67" s="80" t="s">
        <v>990</v>
      </c>
    </row>
    <row r="68" spans="3:3">
      <c r="C68" s="80" t="s">
        <v>991</v>
      </c>
    </row>
    <row r="69" spans="3:3">
      <c r="C69" s="80" t="s">
        <v>992</v>
      </c>
    </row>
    <row r="70" spans="3:3">
      <c r="C70" s="80" t="s">
        <v>993</v>
      </c>
    </row>
    <row r="71" spans="3:3">
      <c r="C71" s="80" t="s">
        <v>994</v>
      </c>
    </row>
    <row r="72" spans="3:3">
      <c r="C72" s="80" t="s">
        <v>995</v>
      </c>
    </row>
    <row r="73" spans="3:3">
      <c r="C73" s="80" t="s">
        <v>996</v>
      </c>
    </row>
    <row r="74" spans="3:3">
      <c r="C74" s="80" t="s">
        <v>997</v>
      </c>
    </row>
    <row r="75" spans="3:3">
      <c r="C75" s="80" t="s">
        <v>998</v>
      </c>
    </row>
    <row r="76" spans="3:3">
      <c r="C76" s="80" t="s">
        <v>999</v>
      </c>
    </row>
    <row r="77" spans="3:3">
      <c r="C77" s="80" t="s">
        <v>1000</v>
      </c>
    </row>
    <row r="78" spans="3:3">
      <c r="C78" s="80" t="s">
        <v>1001</v>
      </c>
    </row>
    <row r="79" spans="3:3">
      <c r="C79" s="81" t="s">
        <v>1002</v>
      </c>
    </row>
    <row r="80" spans="3:3">
      <c r="C80" s="81" t="s">
        <v>1003</v>
      </c>
    </row>
    <row r="81" spans="3:3">
      <c r="C81" s="81" t="s">
        <v>1004</v>
      </c>
    </row>
    <row r="82" spans="3:3">
      <c r="C82" s="81" t="s">
        <v>1005</v>
      </c>
    </row>
    <row r="83" spans="3:3">
      <c r="C83" s="81" t="s">
        <v>1006</v>
      </c>
    </row>
    <row r="84" spans="3:3">
      <c r="C84" s="81" t="s">
        <v>1007</v>
      </c>
    </row>
    <row r="85" spans="3:3">
      <c r="C85" s="81" t="s">
        <v>1008</v>
      </c>
    </row>
    <row r="86" spans="3:3">
      <c r="C86" s="81" t="s">
        <v>1009</v>
      </c>
    </row>
    <row r="87" spans="3:3">
      <c r="C87" s="81" t="s">
        <v>1010</v>
      </c>
    </row>
    <row r="88" spans="3:3">
      <c r="C88" s="81" t="s">
        <v>1011</v>
      </c>
    </row>
    <row r="89" spans="3:3">
      <c r="C89" s="81" t="s">
        <v>1012</v>
      </c>
    </row>
    <row r="90" spans="3:3">
      <c r="C90" s="81" t="s">
        <v>1013</v>
      </c>
    </row>
    <row r="91" spans="3:3">
      <c r="C91" s="81" t="s">
        <v>1014</v>
      </c>
    </row>
    <row r="92" spans="3:3">
      <c r="C92" s="81" t="s">
        <v>1015</v>
      </c>
    </row>
    <row r="93" spans="3:3">
      <c r="C93" s="81" t="s">
        <v>1016</v>
      </c>
    </row>
    <row r="94" spans="3:3">
      <c r="C94" s="81" t="s">
        <v>1017</v>
      </c>
    </row>
    <row r="95" spans="3:3">
      <c r="C95" s="81" t="s">
        <v>1018</v>
      </c>
    </row>
    <row r="96" spans="3:3">
      <c r="C96" s="81" t="s">
        <v>1019</v>
      </c>
    </row>
    <row r="97" spans="3:3">
      <c r="C97" s="82" t="s">
        <v>1020</v>
      </c>
    </row>
    <row r="98" spans="3:3">
      <c r="C98" s="82" t="s">
        <v>1021</v>
      </c>
    </row>
    <row r="99" spans="3:3">
      <c r="C99" s="82" t="s">
        <v>1022</v>
      </c>
    </row>
    <row r="100" spans="3:3">
      <c r="C100" s="82" t="s">
        <v>1023</v>
      </c>
    </row>
    <row r="101" spans="3:3">
      <c r="C101" s="82" t="s">
        <v>1024</v>
      </c>
    </row>
    <row r="102" spans="3:3">
      <c r="C102" s="82" t="s">
        <v>1025</v>
      </c>
    </row>
    <row r="103" spans="3:3">
      <c r="C103" s="82" t="s">
        <v>1026</v>
      </c>
    </row>
    <row r="104" spans="3:3">
      <c r="C104" s="82" t="s">
        <v>1027</v>
      </c>
    </row>
    <row r="105" spans="3:3">
      <c r="C105" s="82" t="s">
        <v>1028</v>
      </c>
    </row>
    <row r="106" spans="3:3">
      <c r="C106" s="82" t="s">
        <v>1029</v>
      </c>
    </row>
    <row r="107" spans="3:3">
      <c r="C107" s="83" t="s">
        <v>1030</v>
      </c>
    </row>
    <row r="108" spans="3:3">
      <c r="C108" s="83" t="s">
        <v>1031</v>
      </c>
    </row>
    <row r="109" spans="3:3">
      <c r="C109" s="83" t="s">
        <v>1032</v>
      </c>
    </row>
    <row r="110" spans="3:3">
      <c r="C110" s="83" t="s">
        <v>1033</v>
      </c>
    </row>
    <row r="111" spans="3:3">
      <c r="C111" s="83" t="s">
        <v>1034</v>
      </c>
    </row>
    <row r="112" spans="3:3">
      <c r="C112" s="83" t="s">
        <v>1035</v>
      </c>
    </row>
    <row r="113" spans="3:3">
      <c r="C113" s="83" t="s">
        <v>1036</v>
      </c>
    </row>
    <row r="114" spans="3:3">
      <c r="C114" s="83" t="s">
        <v>1037</v>
      </c>
    </row>
    <row r="115" spans="3:3">
      <c r="C115" s="83" t="s">
        <v>1038</v>
      </c>
    </row>
    <row r="116" spans="3:3">
      <c r="C116" s="83" t="s">
        <v>1039</v>
      </c>
    </row>
    <row r="117" spans="3:3">
      <c r="C117" s="83" t="s">
        <v>1040</v>
      </c>
    </row>
    <row r="118" spans="3:3">
      <c r="C118" s="83" t="s">
        <v>1041</v>
      </c>
    </row>
    <row r="119" spans="3:3">
      <c r="C119" s="83" t="s">
        <v>1042</v>
      </c>
    </row>
    <row r="120" spans="3:3">
      <c r="C120" s="83" t="s">
        <v>1043</v>
      </c>
    </row>
    <row r="121" spans="3:3">
      <c r="C121" s="83" t="s">
        <v>1044</v>
      </c>
    </row>
    <row r="122" spans="3:3">
      <c r="C122" s="83" t="s">
        <v>1045</v>
      </c>
    </row>
    <row r="123" spans="3:3">
      <c r="C123" s="83" t="s">
        <v>1046</v>
      </c>
    </row>
    <row r="124" spans="3:3">
      <c r="C124" s="78" t="s">
        <v>1047</v>
      </c>
    </row>
    <row r="125" spans="3:3">
      <c r="C125" s="78" t="s">
        <v>1048</v>
      </c>
    </row>
    <row r="126" spans="3:3">
      <c r="C126" s="78" t="s">
        <v>1049</v>
      </c>
    </row>
    <row r="127" spans="3:3">
      <c r="C127" s="78" t="s">
        <v>1050</v>
      </c>
    </row>
    <row r="128" spans="3:3">
      <c r="C128" s="78" t="s">
        <v>1051</v>
      </c>
    </row>
    <row r="129" spans="3:3">
      <c r="C129" s="78" t="s">
        <v>1052</v>
      </c>
    </row>
    <row r="130" spans="3:3">
      <c r="C130" s="78" t="s">
        <v>1053</v>
      </c>
    </row>
    <row r="131" spans="3:3">
      <c r="C131" s="78" t="s">
        <v>1054</v>
      </c>
    </row>
    <row r="132" spans="3:3">
      <c r="C132" s="78" t="s">
        <v>1055</v>
      </c>
    </row>
    <row r="133" spans="3:3">
      <c r="C133" s="78" t="s">
        <v>1056</v>
      </c>
    </row>
    <row r="134" spans="3:3">
      <c r="C134" s="78" t="s">
        <v>1057</v>
      </c>
    </row>
    <row r="135" spans="3:3">
      <c r="C135" s="78" t="s">
        <v>1058</v>
      </c>
    </row>
    <row r="136" spans="3:3">
      <c r="C136" s="78" t="s">
        <v>1059</v>
      </c>
    </row>
    <row r="137" spans="3:3">
      <c r="C137" s="78" t="s">
        <v>1060</v>
      </c>
    </row>
    <row r="138" spans="3:3">
      <c r="C138" s="78" t="s">
        <v>1061</v>
      </c>
    </row>
    <row r="139" spans="3:3">
      <c r="C139" s="78" t="s">
        <v>1062</v>
      </c>
    </row>
    <row r="140" spans="3:3">
      <c r="C140" s="78" t="s">
        <v>1063</v>
      </c>
    </row>
    <row r="141" spans="3:3">
      <c r="C141" s="78" t="s">
        <v>1064</v>
      </c>
    </row>
    <row r="142" spans="3:3">
      <c r="C142" s="78" t="s">
        <v>1065</v>
      </c>
    </row>
    <row r="143" spans="3:3">
      <c r="C143" s="78" t="s">
        <v>1066</v>
      </c>
    </row>
    <row r="144" spans="3:3">
      <c r="C144" s="78" t="s">
        <v>1067</v>
      </c>
    </row>
    <row r="145" spans="3:3">
      <c r="C145" s="78" t="s">
        <v>1068</v>
      </c>
    </row>
    <row r="146" spans="3:3">
      <c r="C146" s="78" t="s">
        <v>1069</v>
      </c>
    </row>
    <row r="147" spans="3:3">
      <c r="C147" s="78" t="s">
        <v>1070</v>
      </c>
    </row>
    <row r="148" spans="3:3">
      <c r="C148" s="78" t="s">
        <v>1071</v>
      </c>
    </row>
    <row r="149" spans="3:3">
      <c r="C149" s="78" t="s">
        <v>1072</v>
      </c>
    </row>
    <row r="150" spans="3:3">
      <c r="C150" s="78" t="s">
        <v>1073</v>
      </c>
    </row>
    <row r="151" spans="3:3">
      <c r="C151" s="78" t="s">
        <v>1074</v>
      </c>
    </row>
    <row r="152" spans="3:3">
      <c r="C152" s="78" t="s">
        <v>1075</v>
      </c>
    </row>
    <row r="153" spans="3:3">
      <c r="C153" s="78" t="s">
        <v>1076</v>
      </c>
    </row>
    <row r="154" spans="3:3">
      <c r="C154" s="78" t="s">
        <v>1077</v>
      </c>
    </row>
    <row r="155" spans="3:3">
      <c r="C155" s="78" t="s">
        <v>1078</v>
      </c>
    </row>
    <row r="156" spans="3:3">
      <c r="C156" s="78" t="s">
        <v>1079</v>
      </c>
    </row>
  </sheetData>
  <dataValidations count="9">
    <dataValidation type="list" allowBlank="1" showInputMessage="1" showErrorMessage="1" sqref="D38">
      <formula1>"CALIDAD."</formula1>
    </dataValidation>
    <dataValidation type="list" allowBlank="1" showInputMessage="1" showErrorMessage="1" sqref="D37">
      <formula1>"MANTENIMIENTO."</formula1>
    </dataValidation>
    <dataValidation type="list" allowBlank="1" showInputMessage="1" showErrorMessage="1" sqref="D36">
      <formula1>"LOGISTICA."</formula1>
    </dataValidation>
    <dataValidation type="list" allowBlank="1" showInputMessage="1" showErrorMessage="1" sqref="D35">
      <formula1>"PANELES."</formula1>
    </dataValidation>
    <dataValidation type="list" allowBlank="1" showInputMessage="1" showErrorMessage="1" sqref="D34">
      <formula1>"VIALES"</formula1>
    </dataValidation>
    <dataValidation type="list" allowBlank="1" showInputMessage="1" showErrorMessage="1" sqref="D33">
      <formula1>"SOLDADURA."</formula1>
    </dataValidation>
    <dataValidation type="list" allowBlank="1" showInputMessage="1" showErrorMessage="1" sqref="D32">
      <formula1>"CORTE_Y_CONFORMADO"</formula1>
    </dataValidation>
    <dataValidation type="list" allowBlank="1" showInputMessage="1" showErrorMessage="1" sqref="D15">
      <formula1>"SYSO"</formula1>
    </dataValidation>
    <dataValidation type="list" allowBlank="1" showInputMessage="1" showErrorMessage="1" sqref="B13">
      <formula1>$D$1:$F$1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S150"/>
  <sheetViews>
    <sheetView workbookViewId="0"/>
  </sheetViews>
  <sheetFormatPr baseColWidth="10" defaultColWidth="8.88671875" defaultRowHeight="14.4"/>
  <cols>
    <col min="2" max="2" width="38.44140625" customWidth="1"/>
    <col min="3" max="3" width="47" customWidth="1"/>
    <col min="4" max="4" width="44.109375" customWidth="1"/>
    <col min="5" max="5" width="39.6640625" customWidth="1"/>
    <col min="6" max="6" width="36.5546875" customWidth="1"/>
    <col min="7" max="7" width="39" customWidth="1"/>
    <col min="8" max="8" width="35.109375" customWidth="1"/>
    <col min="9" max="9" width="32.44140625" customWidth="1"/>
    <col min="10" max="10" width="20.77734375" customWidth="1"/>
  </cols>
  <sheetData>
    <row r="2" spans="2:19">
      <c r="B2" s="38" t="s">
        <v>1080</v>
      </c>
      <c r="C2" s="38" t="s">
        <v>1081</v>
      </c>
      <c r="D2" s="38" t="s">
        <v>1082</v>
      </c>
      <c r="E2" s="38" t="s">
        <v>1083</v>
      </c>
      <c r="F2" s="38" t="s">
        <v>1084</v>
      </c>
      <c r="G2" s="38" t="s">
        <v>1085</v>
      </c>
      <c r="H2" s="38" t="s">
        <v>1086</v>
      </c>
      <c r="I2" s="1" t="s">
        <v>811</v>
      </c>
      <c r="J2" s="1" t="s">
        <v>812</v>
      </c>
      <c r="K2" s="1"/>
      <c r="L2" s="1"/>
      <c r="M2" s="1"/>
      <c r="N2" s="1"/>
      <c r="O2" s="38"/>
      <c r="P2" s="1"/>
      <c r="Q2" s="1"/>
      <c r="R2" s="1"/>
      <c r="S2" s="1"/>
    </row>
    <row r="3" spans="2:19">
      <c r="B3" s="1" t="s">
        <v>818</v>
      </c>
      <c r="C3" s="1" t="s">
        <v>819</v>
      </c>
      <c r="D3" s="1" t="s">
        <v>820</v>
      </c>
      <c r="E3" s="1" t="s">
        <v>821</v>
      </c>
      <c r="F3" s="5" t="s">
        <v>822</v>
      </c>
      <c r="G3" s="1" t="s">
        <v>823</v>
      </c>
      <c r="H3" s="1" t="s">
        <v>824</v>
      </c>
      <c r="I3" s="1" t="s">
        <v>825</v>
      </c>
      <c r="J3" s="1" t="s">
        <v>826</v>
      </c>
      <c r="K3" s="1"/>
      <c r="L3" s="1"/>
      <c r="M3" s="1"/>
      <c r="N3" s="1"/>
      <c r="O3" s="38"/>
      <c r="P3" s="1"/>
      <c r="Q3" s="1"/>
      <c r="R3" s="1"/>
      <c r="S3" s="1"/>
    </row>
    <row r="4" spans="2:19">
      <c r="B4" s="39" t="s">
        <v>21</v>
      </c>
      <c r="C4" s="40" t="s">
        <v>800</v>
      </c>
      <c r="D4" s="39" t="s">
        <v>830</v>
      </c>
      <c r="E4" s="40" t="s">
        <v>831</v>
      </c>
      <c r="F4" s="5" t="s">
        <v>832</v>
      </c>
      <c r="G4" s="1" t="s">
        <v>312</v>
      </c>
      <c r="H4" s="1" t="s">
        <v>833</v>
      </c>
      <c r="I4" s="1" t="s">
        <v>834</v>
      </c>
      <c r="J4" s="1" t="s">
        <v>835</v>
      </c>
      <c r="K4" s="1"/>
      <c r="L4" s="1"/>
      <c r="M4" s="1"/>
      <c r="N4" s="1"/>
      <c r="O4" s="1"/>
      <c r="P4" s="1"/>
      <c r="Q4" s="1"/>
      <c r="R4" s="1"/>
      <c r="S4" s="1"/>
    </row>
    <row r="5" spans="2:19">
      <c r="B5" s="40" t="s">
        <v>269</v>
      </c>
      <c r="C5" s="1" t="s">
        <v>840</v>
      </c>
      <c r="D5" s="39" t="s">
        <v>423</v>
      </c>
      <c r="E5" s="40" t="s">
        <v>841</v>
      </c>
      <c r="F5" s="5" t="s">
        <v>842</v>
      </c>
      <c r="G5" s="1" t="s">
        <v>633</v>
      </c>
      <c r="H5" s="1"/>
      <c r="I5" s="1" t="s">
        <v>843</v>
      </c>
      <c r="J5" s="1" t="s">
        <v>844</v>
      </c>
      <c r="K5" s="1"/>
      <c r="L5" s="1"/>
      <c r="M5" s="1"/>
      <c r="N5" s="1"/>
      <c r="O5" s="1"/>
      <c r="P5" s="1"/>
      <c r="Q5" s="1"/>
      <c r="R5" s="1"/>
      <c r="S5" s="1"/>
    </row>
    <row r="6" spans="2:19">
      <c r="B6" s="40" t="s">
        <v>26</v>
      </c>
      <c r="C6" s="1" t="s">
        <v>849</v>
      </c>
      <c r="D6" s="39" t="s">
        <v>850</v>
      </c>
      <c r="E6" s="39" t="s">
        <v>379</v>
      </c>
      <c r="F6" s="1" t="s">
        <v>33</v>
      </c>
      <c r="G6" s="1" t="s">
        <v>851</v>
      </c>
      <c r="H6" s="1"/>
      <c r="I6" s="1" t="s">
        <v>852</v>
      </c>
      <c r="J6" s="1"/>
      <c r="K6" s="1"/>
      <c r="L6" s="1"/>
      <c r="M6" s="1"/>
      <c r="N6" s="1"/>
      <c r="O6" s="1"/>
      <c r="P6" s="1"/>
      <c r="Q6" s="1"/>
      <c r="R6" s="1"/>
      <c r="S6" s="1"/>
    </row>
    <row r="7" spans="2:19">
      <c r="B7" s="40" t="s">
        <v>157</v>
      </c>
      <c r="C7" s="1" t="s">
        <v>856</v>
      </c>
      <c r="D7" s="39" t="s">
        <v>128</v>
      </c>
      <c r="E7" s="39" t="s">
        <v>376</v>
      </c>
      <c r="F7" s="1" t="s">
        <v>857</v>
      </c>
      <c r="G7" s="1" t="s">
        <v>309</v>
      </c>
      <c r="H7" s="1"/>
      <c r="I7" s="1" t="s">
        <v>858</v>
      </c>
      <c r="J7" s="1"/>
      <c r="K7" s="1"/>
      <c r="L7" s="1"/>
      <c r="M7" s="1"/>
      <c r="N7" s="1"/>
      <c r="O7" s="1"/>
      <c r="P7" s="1"/>
      <c r="Q7" s="1"/>
      <c r="R7" s="1"/>
      <c r="S7" s="1"/>
    </row>
    <row r="8" spans="2:19">
      <c r="B8" s="40" t="s">
        <v>862</v>
      </c>
      <c r="C8" s="40" t="s">
        <v>863</v>
      </c>
      <c r="D8" s="39" t="s">
        <v>273</v>
      </c>
      <c r="E8" s="39" t="s">
        <v>560</v>
      </c>
      <c r="F8" s="1" t="s">
        <v>864</v>
      </c>
      <c r="G8" s="1" t="s">
        <v>865</v>
      </c>
      <c r="H8" s="1"/>
      <c r="I8" s="1" t="s">
        <v>866</v>
      </c>
      <c r="J8" s="1"/>
      <c r="K8" s="1"/>
      <c r="L8" s="1"/>
      <c r="M8" s="1"/>
      <c r="N8" s="1"/>
      <c r="O8" s="1"/>
      <c r="P8" s="1"/>
      <c r="Q8" s="1"/>
      <c r="R8" s="1"/>
      <c r="S8" s="1"/>
    </row>
    <row r="9" spans="2:19">
      <c r="B9" s="39" t="s">
        <v>75</v>
      </c>
      <c r="C9" s="1" t="s">
        <v>386</v>
      </c>
      <c r="D9" s="39" t="s">
        <v>870</v>
      </c>
      <c r="E9" s="39" t="s">
        <v>58</v>
      </c>
      <c r="F9" s="1" t="s">
        <v>642</v>
      </c>
      <c r="G9" s="1" t="s">
        <v>871</v>
      </c>
      <c r="H9" s="1"/>
      <c r="I9" s="1" t="s">
        <v>872</v>
      </c>
      <c r="J9" s="1"/>
      <c r="K9" s="1"/>
      <c r="L9" s="1"/>
      <c r="M9" s="1"/>
      <c r="N9" s="1"/>
      <c r="O9" s="1"/>
      <c r="P9" s="1"/>
      <c r="Q9" s="1"/>
      <c r="R9" s="1"/>
      <c r="S9" s="1"/>
    </row>
    <row r="10" spans="2:19">
      <c r="B10" s="1" t="s">
        <v>529</v>
      </c>
      <c r="C10" s="1" t="s">
        <v>875</v>
      </c>
      <c r="D10" s="40" t="s">
        <v>398</v>
      </c>
      <c r="E10" s="1" t="s">
        <v>345</v>
      </c>
      <c r="F10" s="1" t="s">
        <v>876</v>
      </c>
      <c r="G10" s="1" t="s">
        <v>877</v>
      </c>
      <c r="H10" s="1"/>
      <c r="I10" s="1" t="s">
        <v>878</v>
      </c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2:19">
      <c r="B11" s="1" t="s">
        <v>663</v>
      </c>
      <c r="C11" s="1" t="s">
        <v>221</v>
      </c>
      <c r="D11" s="40" t="s">
        <v>882</v>
      </c>
      <c r="E11" s="1" t="s">
        <v>703</v>
      </c>
      <c r="F11" s="1"/>
      <c r="G11" s="1" t="s">
        <v>462</v>
      </c>
      <c r="H11" s="1"/>
      <c r="I11" s="1" t="s">
        <v>883</v>
      </c>
      <c r="J11" s="1"/>
      <c r="K11" s="1"/>
      <c r="L11" s="1"/>
      <c r="M11" s="1"/>
      <c r="N11" s="1"/>
      <c r="O11" s="40"/>
      <c r="P11" s="1"/>
      <c r="Q11" s="1"/>
      <c r="R11" s="1"/>
      <c r="S11" s="1"/>
    </row>
    <row r="12" spans="2:19">
      <c r="B12" s="1" t="s">
        <v>33</v>
      </c>
      <c r="C12" s="1" t="s">
        <v>33</v>
      </c>
      <c r="D12" s="39" t="s">
        <v>887</v>
      </c>
      <c r="E12" s="1" t="s">
        <v>33</v>
      </c>
      <c r="F12" s="1"/>
      <c r="G12" s="5" t="s">
        <v>822</v>
      </c>
      <c r="H12" s="1"/>
      <c r="I12" s="1" t="s">
        <v>888</v>
      </c>
      <c r="J12" s="1"/>
      <c r="K12" s="1"/>
      <c r="L12" s="1"/>
      <c r="M12" s="1"/>
      <c r="N12" s="1"/>
      <c r="O12" s="39"/>
      <c r="P12" s="1"/>
      <c r="Q12" s="1"/>
      <c r="R12" s="1"/>
      <c r="S12" s="1"/>
    </row>
    <row r="13" spans="2:19">
      <c r="B13" s="1" t="s">
        <v>892</v>
      </c>
      <c r="C13" s="1" t="s">
        <v>893</v>
      </c>
      <c r="D13" s="1" t="s">
        <v>601</v>
      </c>
      <c r="E13" s="1" t="s">
        <v>894</v>
      </c>
      <c r="F13" s="1"/>
      <c r="G13" s="5" t="s">
        <v>832</v>
      </c>
      <c r="H13" s="1"/>
      <c r="I13" s="1" t="s">
        <v>895</v>
      </c>
      <c r="J13" s="1"/>
      <c r="K13" s="1"/>
      <c r="L13" s="1"/>
      <c r="M13" s="1"/>
      <c r="N13" s="1"/>
      <c r="O13" s="40"/>
      <c r="P13" s="1"/>
      <c r="Q13" s="1"/>
      <c r="R13" s="1"/>
      <c r="S13" s="1"/>
    </row>
    <row r="14" spans="2:19">
      <c r="B14" s="41" t="s">
        <v>900</v>
      </c>
      <c r="C14" s="5" t="s">
        <v>381</v>
      </c>
      <c r="D14" s="1" t="s">
        <v>33</v>
      </c>
      <c r="E14" s="5" t="s">
        <v>822</v>
      </c>
      <c r="F14" s="1"/>
      <c r="G14" s="1" t="s">
        <v>901</v>
      </c>
      <c r="H14" s="1"/>
      <c r="I14" s="1" t="s">
        <v>902</v>
      </c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2:19">
      <c r="B15" s="5" t="s">
        <v>822</v>
      </c>
      <c r="C15" s="5" t="s">
        <v>822</v>
      </c>
      <c r="D15" s="1" t="s">
        <v>907</v>
      </c>
      <c r="E15" s="5" t="s">
        <v>832</v>
      </c>
      <c r="F15" s="1"/>
      <c r="G15" s="1" t="s">
        <v>908</v>
      </c>
      <c r="H15" s="1"/>
      <c r="I15" s="1" t="s">
        <v>909</v>
      </c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2:19">
      <c r="B16" s="5" t="s">
        <v>913</v>
      </c>
      <c r="C16" s="5" t="s">
        <v>913</v>
      </c>
      <c r="D16" s="1"/>
      <c r="E16" s="5" t="s">
        <v>842</v>
      </c>
      <c r="F16" s="1"/>
      <c r="G16" s="1" t="s">
        <v>914</v>
      </c>
      <c r="H16" s="1"/>
      <c r="I16" s="1" t="s">
        <v>915</v>
      </c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2:19">
      <c r="B17" s="5" t="s">
        <v>832</v>
      </c>
      <c r="C17" s="5" t="s">
        <v>832</v>
      </c>
      <c r="D17" s="1"/>
      <c r="E17" s="1"/>
      <c r="F17" s="1"/>
      <c r="G17" s="1"/>
      <c r="H17" s="1"/>
      <c r="I17" s="1" t="s">
        <v>919</v>
      </c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2:19">
      <c r="B18" s="5" t="s">
        <v>381</v>
      </c>
      <c r="C18" s="1"/>
      <c r="D18" s="1"/>
      <c r="E18" s="1"/>
      <c r="F18" s="1"/>
      <c r="G18" s="1"/>
      <c r="H18" s="1"/>
      <c r="I18" s="1" t="s">
        <v>925</v>
      </c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2:19">
      <c r="B19" s="5" t="s">
        <v>931</v>
      </c>
      <c r="C19" s="1"/>
      <c r="D19" s="1"/>
      <c r="E19" s="1"/>
      <c r="F19" s="1"/>
      <c r="G19" s="1"/>
      <c r="H19" s="1"/>
      <c r="I19" s="1" t="s">
        <v>932</v>
      </c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2:19">
      <c r="B20" s="1" t="s">
        <v>844</v>
      </c>
      <c r="C20" s="1" t="s">
        <v>844</v>
      </c>
      <c r="D20" s="1" t="s">
        <v>844</v>
      </c>
      <c r="E20" s="1" t="s">
        <v>844</v>
      </c>
      <c r="F20" s="1" t="s">
        <v>844</v>
      </c>
      <c r="G20" s="1" t="s">
        <v>844</v>
      </c>
      <c r="H20" s="1"/>
      <c r="I20" s="1" t="s">
        <v>844</v>
      </c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2:19">
      <c r="B21" s="72"/>
      <c r="C21" s="72"/>
      <c r="D21" s="72"/>
      <c r="E21" s="72"/>
      <c r="F21" s="72"/>
      <c r="G21" s="72"/>
      <c r="H21" s="72"/>
      <c r="I21" s="72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2:19">
      <c r="B22" s="72"/>
      <c r="C22" s="72"/>
      <c r="D22" s="72"/>
      <c r="E22" s="72"/>
      <c r="F22" s="72"/>
      <c r="G22" s="72"/>
      <c r="H22" s="72"/>
      <c r="I22" s="72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2:19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</row>
    <row r="24" spans="2:19"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</row>
    <row r="25" spans="2:19"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</row>
    <row r="26" spans="2:19"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</row>
    <row r="27" spans="2:19"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</row>
    <row r="28" spans="2:19"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</row>
    <row r="29" spans="2:19"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</row>
    <row r="30" spans="2:19"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</row>
    <row r="31" spans="2:19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</row>
    <row r="32" spans="2:19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</row>
    <row r="33" spans="2:19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</row>
    <row r="34" spans="2:19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</row>
    <row r="35" spans="2:19"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</row>
    <row r="36" spans="2:19"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</row>
    <row r="37" spans="2:19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</row>
    <row r="38" spans="2:19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</row>
    <row r="39" spans="2:19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</row>
    <row r="40" spans="2:19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</row>
    <row r="41" spans="2:19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</row>
    <row r="42" spans="2:19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</row>
    <row r="43" spans="2:19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</row>
    <row r="44" spans="2:19"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</row>
    <row r="45" spans="2:19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</row>
    <row r="46" spans="2:19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</row>
    <row r="47" spans="2:19"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</row>
    <row r="48" spans="2:19"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2:19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</row>
    <row r="50" spans="2:19"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2:19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2:19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2:19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2:19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2:19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2:19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2:19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2:19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2:19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2:19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2:19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2:19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2:19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2:19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2:19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2:19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2:19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2:19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2:19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2:19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2:19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2:19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2:19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2:19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2:19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2:19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2:19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2:19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2:19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2:19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2:19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2:19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2:19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2:19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2:19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2:19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2:19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2:19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2:19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2:19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2:19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2:19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2:19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2:19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2:19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2:19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2:19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2:19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2:19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2:19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2:19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2:19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2:19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2:19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2:19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2:19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2:19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2:19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2:19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2:19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2:19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2:19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2:19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2:19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2:19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2:19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2:19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2:19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2:19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2:19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2:19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2:19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2:19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2:19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2:19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2:19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2:19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2:19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2:19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2:19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2:19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2:19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2:19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2:19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2:19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2:19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2:19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2:19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2:19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2:19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2:19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2:19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2:19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2:19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2:19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2:19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2:19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2:19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2:19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2:19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Base</vt:lpstr>
      <vt:lpstr>Listas</vt:lpstr>
      <vt:lpstr>Máquinas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Bryan Rafael Masias Saquipay</cp:lastModifiedBy>
  <dcterms:modified xsi:type="dcterms:W3CDTF">2026-08-07T12:13:25Z</dcterms:modified>
</cp:coreProperties>
</file>